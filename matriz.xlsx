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D:\Users\siste\pesv\"/>
    </mc:Choice>
  </mc:AlternateContent>
  <xr:revisionPtr revIDLastSave="0" documentId="13_ncr:1_{C5FB1437-100E-455C-8DDC-1A60594C7DE3}" xr6:coauthVersionLast="47" xr6:coauthVersionMax="47" xr10:uidLastSave="{00000000-0000-0000-0000-000000000000}"/>
  <bookViews>
    <workbookView xWindow="-120" yWindow="-120" windowWidth="29040" windowHeight="15720" tabRatio="966" activeTab="2" xr2:uid="{00000000-000D-0000-FFFF-FFFF00000000}"/>
  </bookViews>
  <sheets>
    <sheet name="Presentación" sheetId="1" r:id="rId1"/>
    <sheet name="% Cumplimiento" sheetId="2" r:id="rId2"/>
    <sheet name="Requisitos Generales" sheetId="8" r:id="rId3"/>
    <sheet name="borrador" sheetId="9" r:id="rId4"/>
    <sheet name="Otros" sheetId="4" r:id="rId5"/>
    <sheet name="Sanciones" sheetId="5" r:id="rId6"/>
    <sheet name="Cambios" sheetId="6" r:id="rId7"/>
    <sheet name="Procedimiento" sheetId="7" r:id="rId8"/>
    <sheet name="control de cambios" sheetId="10" r:id="rId9"/>
  </sheets>
  <definedNames>
    <definedName name="_xlnm._FilterDatabase" localSheetId="2" hidden="1">'Requisitos Generales'!$A$1:$L$312</definedName>
    <definedName name="ver_30274844" localSheetId="2">'Requisitos Generales'!$B$16</definedName>
    <definedName name="ver_30274845" localSheetId="2">'Requisitos Generales'!$B$20</definedName>
    <definedName name="ver_30274846" localSheetId="2">'Requisitos Generales'!$B$40</definedName>
    <definedName name="ver_30274847" localSheetId="2">'Requisitos Generales'!$B$48</definedName>
    <definedName name="ver_30274848" localSheetId="2">'Requisitos Generales'!#REF!</definedName>
    <definedName name="ver_30274926" localSheetId="2">'Requisitos Generales'!$F$37</definedName>
    <definedName name="ver_30274927" localSheetId="2">'Requisitos Generales'!$F$40</definedName>
    <definedName name="ver_30274949" localSheetId="2">'Requisitos Generales'!$E$36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4" l="1"/>
  <c r="H15" i="4"/>
  <c r="K14" i="4"/>
  <c r="H14" i="4"/>
  <c r="K13" i="4"/>
  <c r="H13" i="4"/>
  <c r="K12" i="4"/>
  <c r="H12" i="4"/>
  <c r="K11" i="4"/>
  <c r="H11" i="4"/>
  <c r="K10" i="4"/>
  <c r="H10" i="4"/>
  <c r="K9" i="4"/>
  <c r="H9" i="4"/>
  <c r="K8" i="4"/>
  <c r="H8" i="4"/>
  <c r="K7" i="4"/>
  <c r="H7" i="4"/>
  <c r="K6" i="4"/>
  <c r="H6" i="4"/>
  <c r="K5" i="4"/>
  <c r="H5" i="4"/>
  <c r="K4" i="4"/>
  <c r="H4" i="4"/>
  <c r="C21" i="2"/>
  <c r="D20" i="2"/>
  <c r="E20" i="2" s="1"/>
  <c r="D19" i="2"/>
  <c r="E19" i="2" s="1"/>
  <c r="D18" i="2"/>
  <c r="E18" i="2" s="1"/>
  <c r="D17" i="2"/>
  <c r="E17" i="2" s="1"/>
  <c r="D16" i="2"/>
  <c r="E16" i="2" s="1"/>
  <c r="D15" i="2"/>
  <c r="E15" i="2" s="1"/>
  <c r="D14" i="2"/>
  <c r="C11" i="2"/>
  <c r="D10" i="2"/>
  <c r="E10" i="2" s="1"/>
  <c r="D9" i="2"/>
  <c r="E9" i="2" s="1"/>
  <c r="D8" i="2"/>
  <c r="E8" i="2" s="1"/>
  <c r="D7" i="2"/>
  <c r="E7" i="2" s="1"/>
  <c r="D6" i="2"/>
  <c r="E6" i="2" s="1"/>
  <c r="D5" i="2"/>
  <c r="E5" i="2" s="1"/>
  <c r="D4" i="2"/>
  <c r="E4" i="2" s="1"/>
  <c r="E11" i="2" s="1"/>
  <c r="M9" i="1" s="1"/>
  <c r="O9" i="1"/>
  <c r="D21" i="2" l="1"/>
  <c r="E14" i="2"/>
  <c r="E21" i="2" s="1"/>
  <c r="D11" i="2"/>
</calcChain>
</file>

<file path=xl/sharedStrings.xml><?xml version="1.0" encoding="utf-8"?>
<sst xmlns="http://schemas.openxmlformats.org/spreadsheetml/2006/main" count="2215" uniqueCount="1350">
  <si>
    <t xml:space="preserve">PROCEDIMIENTO PARA IDENTIFICAR, AGRUPAR, EVALUAR Y ACTUALIZAR LOS REQUISTOS LEGALES </t>
  </si>
  <si>
    <t>REQUISITOS GENERALES</t>
  </si>
  <si>
    <t>DE
SEGURIDAD</t>
  </si>
  <si>
    <t>FÍSICOS
1. Verificar registros documentales de cumplimiento del requisito.
2. Confirmar actualización de procedimientos y formatos relacionados.
3. Revisar trazabilidad de acciones preventivas y correctivas.</t>
  </si>
  <si>
    <t>QUÍMICOS</t>
  </si>
  <si>
    <t>BIOLÓGICOS</t>
  </si>
  <si>
    <t>PSICOSOCIAL</t>
  </si>
  <si>
    <t>BIOMECÁNICOS</t>
  </si>
  <si>
    <t>TOTAL 
NORMAS</t>
  </si>
  <si>
    <t>CONTROL DE CAMBIOS</t>
  </si>
  <si>
    <t>TABLA DE SANCIONES</t>
  </si>
  <si>
    <t>OTROS
REQUISITOS
1. Verificar registros documentales de cumplimiento del requisito.
2. Confirmar actualización de procedimientos y formatos relacionados.
3. Revisar trazabilidad de acciones preventivas y correctivas.</t>
  </si>
  <si>
    <t>INDICADOR DE CUMPLIMIENTO LEGAL</t>
  </si>
  <si>
    <t>Formato y forma, Elaborado x Alejandro Valencia Ortiz
Abogado, máster en PRL 18 años de experiencia en el ramo
Reservados todos los derechos. Está prohibido, bajo las sanciones
penales y el resarcimiento civil previstos en las leyes, reproducir, sin la autorización previa por escrito del creador</t>
  </si>
  <si>
    <t>MATRIZ DE REQUISITOS LEGALES SST</t>
  </si>
  <si>
    <t>Resumen de Cumplimiento 2025</t>
  </si>
  <si>
    <t>EVALUACIÓN 2025</t>
  </si>
  <si>
    <t>Valor Máximo</t>
  </si>
  <si>
    <t>Valor Obtenido</t>
  </si>
  <si>
    <t>% 
Cumplimiento</t>
  </si>
  <si>
    <t>Análisis del indicador:</t>
  </si>
  <si>
    <t>CLASIFICADORES</t>
  </si>
  <si>
    <t>Requisitos Generales</t>
  </si>
  <si>
    <t>Biológicos</t>
  </si>
  <si>
    <t>De Seguridad</t>
  </si>
  <si>
    <t>Biomecánicos</t>
  </si>
  <si>
    <t>Físicos</t>
  </si>
  <si>
    <t xml:space="preserve"> Psicosocial</t>
  </si>
  <si>
    <t>Químico</t>
  </si>
  <si>
    <t>TOTAL</t>
  </si>
  <si>
    <t>Resumen de Cumplimiento  2026</t>
  </si>
  <si>
    <t>EVALUACIÓN 2026</t>
  </si>
  <si>
    <t>% Cumplimiento</t>
  </si>
  <si>
    <t>Versión: 
Fecha: 2021</t>
  </si>
  <si>
    <t xml:space="preserve">CRITERIOS  PARA AUTOEVALUACIÓN
QUE EVIDENCIAN EL CUMPLIMIENTO LEGAL
</t>
  </si>
  <si>
    <t>PLAN DE ACCIÓN</t>
  </si>
  <si>
    <t>RESPONSABLE</t>
  </si>
  <si>
    <t>FECHA</t>
  </si>
  <si>
    <t>TRAZABILIDAD - EVIDENCIA DE CUMPLIMIENTO</t>
  </si>
  <si>
    <t>GENERALES</t>
  </si>
  <si>
    <t>SUBCLASIFICADOR</t>
  </si>
  <si>
    <t>1. ¿La empresa ha identificado y documentado en la matriz legal las obligaciones derivadas de Ley 1562/12 art. 1 define Programa de S.O como un SG y su relación con el SG-SST?
2. ¿Las políticas, procedimientos y programas del SG-SST incorporan de forma explícita los lineamientos establecidos en Ley 1562/12 art. 1 define Programa de S.O como un SG?
3. ¿Existe evidencia documental (actas, comunicaciones, registros, contratos, entre otros) que demuestre la aplicación de Ley 1562/12 art. 1 define Programa de S.O como un SG en la organización?
4. ¿Se ha socializado con trabajadores, líderes y responsables del SG-SST el contenido y alcance de Ley 1562/12 art. 1 define Programa de S.O como un SG y sus implicaciones en seguridad y salud en el trabajo?
5. ¿Se realiza seguimiento periódico al cumplimiento de Ley 1562/12 art. 1 define Programa de S.O como un SG, dejando soportes de las revisiones y acciones de mejora cuando se identifican brechas?
6. ¿Los cambios o reformas a Ley 1562/12 art. 1 define Programa de S.O como un SG se registran oportunamente en la matriz legal y se comunican a los procesos impactados?</t>
  </si>
  <si>
    <t>EPP</t>
  </si>
  <si>
    <t>Fijar atención a lo coloreado en rojo</t>
  </si>
  <si>
    <t>Juan Narvaez</t>
  </si>
  <si>
    <t>Jornadas y contratos</t>
  </si>
  <si>
    <t>Ambiental Legal</t>
  </si>
  <si>
    <t xml:space="preserve">Resolución 0921 de 2025 – ANLA. Actualiza el marco tarifario para evaluación y seguimiento de licencias, permisos y demás instrumentos ambientales (impacta costos y planeación de trámites). </t>
  </si>
  <si>
    <t>1. Contar con documento y procedimiento vigente del requisito legal aplicable.
2. Implementar controles y responsables definidos para su cumplimiento.
3. Conservar evidencia verificable (registros, actas, informes, indicadores).
4. Verificar registros documentales de cumplimiento del requisito.
5. Confirmar actualización de procedimientos y formatos relacionados.
6. Revisar trazabilidad de acciones preventivas y correctivas.</t>
  </si>
  <si>
    <t xml:space="preserve">Resolución 0175 de 2025 – MADS. Reglamenta condiciones de participación comunitaria en mesas de trabajo regionales (CONALDEF). Importante en el relacionamiento socioambiental de proyectos (canteras/plantas). </t>
  </si>
  <si>
    <t xml:space="preserve">Resolución 1216 de 2025 – ANM. Criterios para demostrar capacidad económica de comercializadores de minerales y plantas de beneficio (RUCOM). Útil cuando HOLCIM interviene en compra/venta de materiales de cantera. </t>
  </si>
  <si>
    <t>Ejecutar criterio color rojo</t>
  </si>
  <si>
    <t xml:space="preserve">Resolución 1549 de 2025 – ANM. Ajustes técnicos a la Plataforma de Trazabilidad de Minerales y etapas de control (incide en reportes y debida diligencia en la cadena). </t>
  </si>
  <si>
    <t>1. ¿La empresa ha identificado los requisitos específicos de Resolución 1549 de 2025 – ANM. Ajustes técnicos a la Plataforma de Trazabilidad de Minerales y etapas de control (incide en reportes y debida diligencia en la cadena). que aplican a su actividad económica y tamaño?
2. ¿Se dispone de procedimientos, instructivos o formatos que permitan cumplir con las exigencias técnicas y administrativas de Resolución 1549 de 2025 – ANM. Ajustes técnicos a la Plataforma de Trazabilidad de Minerales y etapas de control (incide en reportes y debida diligencia en la cadena).?
3. ¿Existen registros (informes, actas, listados, certificados, reportes en plataformas) que evidencien el cumplimiento de Resolución 1549 de 2025 – ANM. Ajustes técnicos a la Plataforma de Trazabilidad de Minerales y etapas de control (incide en reportes y debida diligencia en la cadena).?
4. ¿Los responsables del SG-SST realizan seguimiento periódico a los ítems de Resolución 1549 de 2025 – ANM. Ajustes técnicos a la Plataforma de Trazabilidad de Minerales y etapas de control (incide en reportes y debida diligencia en la cadena). incluidos en la matriz legal y documentan los resultados?
5. ¿Se han comunicado los requisitos de Resolución 1549 de 2025 – ANM. Ajustes técnicos a la Plataforma de Trazabilidad de Minerales y etapas de control (incide en reportes y debida diligencia en la cadena). a los trabajadores, contratistas y proveedores que se ven impactados por esta norma?
6. ¿Las no conformidades asociadas al cumplimiento de Resolución 1549 de 2025 – ANM. Ajustes técnicos a la Plataforma de Trazabilidad de Minerales y etapas de control (incide en reportes y debida diligencia en la cadena). generan acciones correctivas o de mejora con responsables y fechas definidas?</t>
  </si>
  <si>
    <t>Incapacidades-
Reubicación</t>
  </si>
  <si>
    <t>1. ¿El SG-SST incorpora los requisitos establecidos en Decreto 2351 de 1965 (Art. 16). Ley 2663 de 1950 CST (Art. 283), Ley 776/02. Decreto 019/12 art. 142(cumplidos los 1°s 180 días de incapacidad. dentro de sus procedimientos, estándares y controles operativos?
2. ¿Se cuenta con documentación actualizada (procedimientos, instructivos, protocolos) que evidencie la implementación de lo definido en Decreto 2351 de 1965 (Art. 16). Ley 2663 de 1950 CST (Art. 283), Ley 776/02. Decreto 019/12 art. 142(cumplidos los 1°s 180 días de incapacidad.?
3. ¿Se verifica de manera periódica el cumplimiento de Decreto 2351 de 1965 (Art. 16). Ley 2663 de 1950 CST (Art. 283), Ley 776/02. Decreto 019/12 art. 142(cumplidos los 1°s 180 días de incapacidad. en auditorías internas, inspecciones o revisiones de la matriz legal?
4. ¿Los responsables de cada proceso conocen las obligaciones derivadas de Decreto 2351 de 1965 (Art. 16). Ley 2663 de 1950 CST (Art. 283), Ley 776/02. Decreto 019/12 art. 142(cumplidos los 1°s 180 días de incapacidad. que les aplican y cuentan con los recursos para cumplirlas?
5. ¿Se conservan registros (informes, actas, listas de verificación, reportes) que demuestren la aplicación práctica de Decreto 2351 de 1965 (Art. 16). Ley 2663 de 1950 CST (Art. 283), Ley 776/02. Decreto 019/12 art. 142(cumplidos los 1°s 180 días de incapacidad. en la empresa?
6. ¿Las actualizaciones o derogatorias relacionadas con Decreto 2351 de 1965 (Art. 16). Ley 2663 de 1950 CST (Art. 283), Ley 776/02. Decreto 019/12 art. 142(cumplidos los 1°s 180 días de incapacidad. se reflejan oportunamente en la matriz legal y en los documentos del SG-SST?</t>
  </si>
  <si>
    <t>1. ¿El SG-SST incorpora los requisitos establecidos en Decreto 1333 27/07/18 Reglamenta las incapacidades superiores a 540 días, los aportantes no podrán deducir de las cotizaciones en salud los valores correspondientes a incapacidades por EG y LM licencias de maternidad y/o paternidad. dentro de sus procedimientos, estándares y controles operativos?
2. ¿Se cuenta con documentación actualizada (procedimientos, instructivos, protocolos) que evidencie la implementación de lo definido en Decreto 1333 27/07/18 Reglamenta las incapacidades superiores a 540 días, los aportantes no podrán deducir de las cotizaciones en salud los valores correspondientes a incapacidades por EG y LM licencias de maternidad y/o paternidad.?
3. ¿Se verifica de manera periódica el cumplimiento de Decreto 1333 27/07/18 Reglamenta las incapacidades superiores a 540 días, los aportantes no podrán deducir de las cotizaciones en salud los valores correspondientes a incapacidades por EG y LM licencias de maternidad y/o paternidad. en auditorías internas, inspecciones o revisiones de la matriz legal?
4. ¿Los responsables de cada proceso conocen las obligaciones derivadas de Decreto 1333 27/07/18 Reglamenta las incapacidades superiores a 540 días, los aportantes no podrán deducir de las cotizaciones en salud los valores correspondientes a incapacidades por EG y LM licencias de maternidad y/o paternidad. que les aplican y cuentan con los recursos para cumplirlas?
5. ¿Se conservan registros (informes, actas, listas de verificación, reportes) que demuestren la aplicación práctica de Decreto 1333 27/07/18 Reglamenta las incapacidades superiores a 540 días, los aportantes no podrán deducir de las cotizaciones en salud los valores correspondientes a incapacidades por EG y LM licencias de maternidad y/o paternidad. en la empresa?
6. ¿Las actualizaciones o derogatorias relacionadas con Decreto 1333 27/07/18 Reglamenta las incapacidades superiores a 540 días, los aportantes no podrán deducir de las cotizaciones en salud los valores correspondientes a incapacidades por EG y LM licencias de maternidad y/o paternidad. se reflejan oportunamente en la matriz legal y en los documentos del SG-SST?</t>
  </si>
  <si>
    <t>1. ¿El SG-SST incorpora los requisitos establecidos en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dentro de sus procedimientos, estándares y controles operativos?
2. ¿Se cuenta con documentación actualizada (procedimientos, instructivos, protocolos) que evidencie la implementación de lo definido en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3. ¿Se verifica de manera periódica el cumplimiento de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en auditorías internas, inspecciones o revisiones de la matriz legal?
4. ¿Los responsables de cada proceso conocen las obligaciones derivadas de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que les aplican y cuentan con los recursos para cumplirlas?
5. ¿Se conservan registros (informes, actas, listas de verificación, reportes) que demuestren la aplicación práctica de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en la empresa?
6. ¿Las actualizaciones o derogatorias relacionadas con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se reflejan oportunamente en la matriz legal y en los documentos del SG-SST?</t>
  </si>
  <si>
    <t>Capacitación</t>
  </si>
  <si>
    <t>1. ¿La empresa ha identificado y documentado en la matriz legal las obligaciones derivadas de Ley 378 de 1997 (Art. 13). y su relación con el SG-SST?
2. ¿Las políticas, procedimientos y programas del SG-SST incorporan de forma explícita los lineamientos establecidos en Ley 378 de 1997 (Art. 13).?
3. ¿Existe evidencia documental (actas, comunicaciones, registros, contratos, entre otros) que demuestre la aplicación de Ley 378 de 1997 (Art. 13). en la organización?
4. ¿Se ha socializado con trabajadores, líderes y responsables del SG-SST el contenido y alcance de Ley 378 de 1997 (Art. 13). y sus implicaciones en seguridad y salud en el trabajo?
5. ¿Se realiza seguimiento periódico al cumplimiento de Ley 378 de 1997 (Art. 13)., dejando soportes de las revisiones y acciones de mejora cuando se identifican brechas?
6. ¿Los cambios o reformas a Ley 378 de 1997 (Art. 13). se registran oportunamente en la matriz legal y se comunican a los procesos impactados?</t>
  </si>
  <si>
    <t>1. ¿El SG-SST incorpora los requisitos establecidos en Decreto 1127 de 1991 (Art. 5) dentro de sus procedimientos, estándares y controles operativos?
2. ¿Se cuenta con documentación actualizada (procedimientos, instructivos, protocolos) que evidencie la implementación de lo definido en Decreto 1127 de 1991 (Art. 5)?
3. ¿Se verifica de manera periódica el cumplimiento de Decreto 1127 de 1991 (Art. 5) en auditorías internas, inspecciones o revisiones de la matriz legal?
4. ¿Los responsables de cada proceso conocen las obligaciones derivadas de Decreto 1127 de 1991 (Art. 5) que les aplican y cuentan con los recursos para cumplirlas?
5. ¿Se conservan registros (informes, actas, listas de verificación, reportes) que demuestren la aplicación práctica de Decreto 1127 de 1991 (Art. 5) en la empresa?
6. ¿Las actualizaciones o derogatorias relacionadas con Decreto 1127 de 1991 (Art. 5) se reflejan oportunamente en la matriz legal y en los documentos del SG-SST?</t>
  </si>
  <si>
    <t>1. ¿El SG-SST incorpora los requisitos establecidos en D.1072/15 Programa de capacitación anual, Resolución 4927 del 23-11-2016, Parámetros y requisitos para desarrollar certificar y registrar la capacitación virtual en el SGGSST Artículo 2.2.4.6.11. Capacitación en seguridad y salud en el trabajo – SST. dentro de sus procedimientos, estándares y controles operativos?
2. ¿Se cuenta con documentación actualizada (procedimientos, instructivos, protocolos) que evidencie la implementación de lo definido en D.1072/15 Programa de capacitación anual, Resolución 4927 del 23-11-2016, Parámetros y requisitos para desarrollar certificar y registrar la capacitación virtual en el SGGSST Artículo 2.2.4.6.11. Capacitación en seguridad y salud en el trabajo – SST.?
3. ¿Se verifica de manera periódica el cumplimiento de D.1072/15 Programa de capacitación anual, Resolución 4927 del 23-11-2016, Parámetros y requisitos para desarrollar certificar y registrar la capacitación virtual en el SGGSST Artículo 2.2.4.6.11. Capacitación en seguridad y salud en el trabajo – SST. en auditorías internas, inspecciones o revisiones de la matriz legal?
4. ¿Los responsables de cada proceso conocen las obligaciones derivadas de D.1072/15 Programa de capacitación anual, Resolución 4927 del 23-11-2016, Parámetros y requisitos para desarrollar certificar y registrar la capacitación virtual en el SGGSST Artículo 2.2.4.6.11. Capacitación en seguridad y salud en el trabajo – SST. que les aplican y cuentan con los recursos para cumplirlas?
5. ¿Se conservan registros (informes, actas, listas de verificación, reportes) que demuestren la aplicación práctica de D.1072/15 Programa de capacitación anual, Resolución 4927 del 23-11-2016, Parámetros y requisitos para desarrollar certificar y registrar la capacitación virtual en el SGGSST Artículo 2.2.4.6.11. Capacitación en seguridad y salud en el trabajo – SST. en la empresa?
6. ¿Las actualizaciones o derogatorias relacionadas con D.1072/15 Programa de capacitación anual, Resolución 4927 del 23-11-2016, Parámetros y requisitos para desarrollar certificar y registrar la capacitación virtual en el SGGSST Artículo 2.2.4.6.11. Capacitación en seguridad y salud en el trabajo – SST. se reflejan oportunamente en la matriz legal y en los documentos del SG-SST?</t>
  </si>
  <si>
    <t>1. ¿La empresa ha identificado y documentado en la matriz legal las obligaciones derivadas de Ley 2120 30-07-2021 Congreso adopta medidas para fomentar entornos alimentarios saludables y prevenir enfermedades no transmisibles y se adoptan otras disposiciones Art. 12 Implementación de entornos laborales saludables y su relación con el SG-SST?
2. ¿Las políticas, procedimientos y programas del SG-SST incorporan de forma explícita los lineamientos establecidos en Ley 2120 30-07-2021 Congreso adopta medidas para fomentar entornos alimentarios saludables y prevenir enfermedades no transmisibles y se adoptan otras disposiciones Art. 12 Implementación de entornos laborales saludables?
3. ¿Existe evidencia documental (actas, comunicaciones, registros, contratos, entre otros) que demuestre la aplicación de Ley 2120 30-07-2021 Congreso adopta medidas para fomentar entornos alimentarios saludables y prevenir enfermedades no transmisibles y se adoptan otras disposiciones Art. 12 Implementación de entornos laborales saludables en la organización?
4. ¿Se ha socializado con trabajadores, líderes y responsables del SG-SST el contenido y alcance de Ley 2120 30-07-2021 Congreso adopta medidas para fomentar entornos alimentarios saludables y prevenir enfermedades no transmisibles y se adoptan otras disposiciones Art. 12 Implementación de entornos laborales saludables y sus implicaciones en seguridad y salud en el trabajo?
5. ¿Se realiza seguimiento periódico al cumplimiento de Ley 2120 30-07-2021 Congreso adopta medidas para fomentar entornos alimentarios saludables y prevenir enfermedades no transmisibles y se adoptan otras disposiciones Art. 12 Implementación de entornos laborales saludables, dejando soportes de las revisiones y acciones de mejora cuando se identifican brechas?
6. ¿Los cambios o reformas a Ley 2120 30-07-2021 Congreso adopta medidas para fomentar entornos alimentarios saludables y prevenir enfermedades no transmisibles y se adoptan otras disposiciones Art. 12 Implementación de entornos laborales saludables se registran oportunamente en la matriz legal y se comunican a los procesos impactados?</t>
  </si>
  <si>
    <t>Circular 47 del 22-04-2025 Mintrabajo Actualización curso 50/20 horas del SG-SST</t>
  </si>
  <si>
    <t>1. ¿La empresa conoce y ha analizado los lineamientos impartidos en Circular 47 del 22-04-2025 Mintrabajo Actualización curso 50/20 horas del SG-SST frente a su actividad y condiciones de trabajo?
2. ¿Se han incorporado en los procedimientos internos las orientaciones y criterios definidos en Circular 47 del 22-04-2025 Mintrabajo Actualización curso 50/20 horas del SG-SST?
3. ¿Existe evidencia de comunicación interna (correos, circulares, actas) sobre el contenido de Circular 47 del 22-04-2025 Mintrabajo Actualización curso 50/20 horas del SG-SST a las áreas responsables?
4. ¿Se verifica en auditorías o revisiones internas el cumplimiento de las instrucciones dadas en Circular 47 del 22-04-2025 Mintrabajo Actualización curso 50/20 horas del SG-SST?
5. ¿Los cambios o nuevas circulares que complementan o sustituyen a Circular 47 del 22-04-2025 Mintrabajo Actualización curso 50/20 horas del SG-SST se actualizan oportunamente en la matriz legal?
6. ¿Se conservan registros de las decisiones tomadas a partir de Circular 47 del 22-04-2025 Mintrabajo Actualización curso 50/20 horas del SG-SST en relación con el SG-SST?</t>
  </si>
  <si>
    <t>Afiliación al sistema de seguridad social</t>
  </si>
  <si>
    <t>1. ¿La empresa ha identificado y documentado en la matriz legal las obligaciones derivadas de Ley 100 de 1993 (:Art.12, 16, 17,18 ,22). y su relación con el SG-SST?
2. ¿Las políticas, procedimientos y programas del SG-SST incorporan de forma explícita los lineamientos establecidos en Ley 100 de 1993 (:Art.12, 16, 17,18 ,22).?
3. ¿Existe evidencia documental (actas, comunicaciones, registros, contratos, entre otros) que demuestre la aplicación de Ley 100 de 1993 (:Art.12, 16, 17,18 ,22). en la organización?
4. ¿Se ha socializado con trabajadores, líderes y responsables del SG-SST el contenido y alcance de Ley 100 de 1993 (:Art.12, 16, 17,18 ,22). y sus implicaciones en seguridad y salud en el trabajo?
5. ¿Se realiza seguimiento periódico al cumplimiento de Ley 100 de 1993 (:Art.12, 16, 17,18 ,22)., dejando soportes de las revisiones y acciones de mejora cuando se identifican brechas?
6. ¿Los cambios o reformas a Ley 100 de 1993 (:Art.12, 16, 17,18 ,22). se registran oportunamente en la matriz legal y se comunican a los procesos impactados?</t>
  </si>
  <si>
    <t>1. ¿La empresa conoce y ha analizado los lineamientos impartidos en Circular unificada de 2004 (Art.B9 (a, b) frente a su actividad y condiciones de trabajo?
2. ¿Se han incorporado en los procedimientos internos las orientaciones y criterios definidos en Circular unificada de 2004 (Art.B9 (a, b)?
3. ¿Existe evidencia de comunicación interna (correos, circulares, actas) sobre el contenido de Circular unificada de 2004 (Art.B9 (a, b) a las áreas responsables?
4. ¿Se verifica en auditorías o revisiones internas el cumplimiento de las instrucciones dadas en Circular unificada de 2004 (Art.B9 (a, b)?
5. ¿Los cambios o nuevas circulares que complementan o sustituyen a Circular unificada de 2004 (Art.B9 (a, b) se actualizan oportunamente en la matriz legal?
6. ¿Se conservan registros de las decisiones tomadas a partir de Circular unificada de 2004 (Art.B9 (a, b) en relación con el SG-SST?</t>
  </si>
  <si>
    <t>1. ¿El SG-SST incorpora los requisitos establecidos en D. 1072/15 art. 2.2.4.2.2.1 - 2.2.4.2.2.24 dentro de sus procedimientos, estándares y controles operativos?
2. ¿Se cuenta con documentación actualizada (procedimientos, instructivos, protocolos) que evidencie la implementación de lo definido en D. 1072/15 art. 2.2.4.2.2.1 - 2.2.4.2.2.24?
3. ¿Se verifica de manera periódica el cumplimiento de D. 1072/15 art. 2.2.4.2.2.1 - 2.2.4.2.2.24 en auditorías internas, inspecciones o revisiones de la matriz legal?
4. ¿Los responsables de cada proceso conocen las obligaciones derivadas de D. 1072/15 art. 2.2.4.2.2.1 - 2.2.4.2.2.24 que les aplican y cuentan con los recursos para cumplirlas?
5. ¿Se conservan registros (informes, actas, listas de verificación, reportes) que demuestren la aplicación práctica de D. 1072/15 art. 2.2.4.2.2.1 - 2.2.4.2.2.24 en la empresa?
6. ¿Las actualizaciones o derogatorias relacionadas con D. 1072/15 art. 2.2.4.2.2.1 - 2.2.4.2.2.24 se reflejan oportunamente en la matriz legal y en los documentos del SG-SST?</t>
  </si>
  <si>
    <t>1. ¿La empresa ha identificado los requisitos específicos de Resolución 2388 de 2016 Por la cual se unifican las reglas para el recaudo de aportes al SGSSI y Parafiscales que aplican a su actividad económica y tamaño?
2. ¿Se dispone de procedimientos, instructivos o formatos que permitan cumplir con las exigencias técnicas y administrativas de Resolución 2388 de 2016 Por la cual se unifican las reglas para el recaudo de aportes al SGSSI y Parafiscales?
3. ¿Existen registros (informes, actas, listados, certificados, reportes en plataformas) que evidencien el cumplimiento de Resolución 2388 de 2016 Por la cual se unifican las reglas para el recaudo de aportes al SGSSI y Parafiscales?
4. ¿Los responsables del SG-SST realizan seguimiento periódico a los ítems de Resolución 2388 de 2016 Por la cual se unifican las reglas para el recaudo de aportes al SGSSI y Parafiscales incluidos en la matriz legal y documentan los resultados?
5. ¿Se han comunicado los requisitos de Resolución 2388 de 2016 Por la cual se unifican las reglas para el recaudo de aportes al SGSSI y Parafiscales a los trabajadores, contratistas y proveedores que se ven impactados por esta norma?
6. ¿Las no conformidades asociadas al cumplimiento de Resolución 2388 de 2016 Por la cual se unifican las reglas para el recaudo de aportes al SGSSI y Parafiscales generan acciones correctivas o de mejora con responsables y fechas definidas?</t>
  </si>
  <si>
    <t>1. ¿El SG-SST incorpora los requisitos establecidos en Decreto 780 de 2016, Único Reglamentario del Sector Salud y Protección Social dentro de sus procedimientos, estándares y controles operativos?
2. ¿Se cuenta con documentación actualizada (procedimientos, instructivos, protocolos) que evidencie la implementación de lo definido en Decreto 780 de 2016, Único Reglamentario del Sector Salud y Protección Social?
3. ¿Se verifica de manera periódica el cumplimiento de Decreto 780 de 2016, Único Reglamentario del Sector Salud y Protección Social en auditorías internas, inspecciones o revisiones de la matriz legal?
4. ¿Los responsables de cada proceso conocen las obligaciones derivadas de Decreto 780 de 2016, Único Reglamentario del Sector Salud y Protección Social que les aplican y cuentan con los recursos para cumplirlas?
5. ¿Se conservan registros (informes, actas, listas de verificación, reportes) que demuestren la aplicación práctica de Decreto 780 de 2016, Único Reglamentario del Sector Salud y Protección Social en la empresa?
6. ¿Las actualizaciones o derogatorias relacionadas con Decreto 780 de 2016, Único Reglamentario del Sector Salud y Protección Social se reflejan oportunamente en la matriz legal y en los documentos del SG-SST?</t>
  </si>
  <si>
    <t>1. ¿La empresa ha identificado los requisitos específicos de Resolución 978 del 20-06-2023 Min salud adopta el Formulario Único de Afiliación y Reporte de Novedades de los trabajadores dependientes, independientes y estudiantes al SGRL que aplican a su actividad económica y tamaño?
2. ¿Se dispone de procedimientos, instructivos o formatos que permitan cumplir con las exigencias técnicas y administrativas de Resolución 978 del 20-06-2023 Min salud adopta el Formulario Único de Afiliación y Reporte de Novedades de los trabajadores dependientes, independientes y estudiantes al SGRL?
3. ¿Existen registros (informes, actas, listados, certificados, reportes en plataformas) que evidencien el cumplimiento de Resolución 978 del 20-06-2023 Min salud adopta el Formulario Único de Afiliación y Reporte de Novedades de los trabajadores dependientes, independientes y estudiantes al SGRL?
4. ¿Los responsables del SG-SST realizan seguimiento periódico a los ítems de Resolución 978 del 20-06-2023 Min salud adopta el Formulario Único de Afiliación y Reporte de Novedades de los trabajadores dependientes, independientes y estudiantes al SGRL incluidos en la matriz legal y documentan los resultados?
5. ¿Se han comunicado los requisitos de Resolución 978 del 20-06-2023 Min salud adopta el Formulario Único de Afiliación y Reporte de Novedades de los trabajadores dependientes, independientes y estudiantes al SGRL a los trabajadores, contratistas y proveedores que se ven impactados por esta norma?
6. ¿Las no conformidades asociadas al cumplimiento de Resolución 978 del 20-06-2023 Min salud adopta el Formulario Único de Afiliación y Reporte de Novedades de los trabajadores dependientes, independientes y estudiantes al SGRL generan acciones correctivas o de mejora con responsables y fechas definidas?</t>
  </si>
  <si>
    <t>1. ¿La empresa ha identificado los requisitos específicos de Resolución 1798 del 1-11 2023 Minsalud definen las condiciones generales para la operación del SGRL en el Sistema de Afiliación Transaccional —SAT para la afiliación obligatoria y voluntaria de trabajadores independientes que aplican a su actividad económica y tamaño?
2. ¿Se dispone de procedimientos, instructivos o formatos que permitan cumplir con las exigencias técnicas y administrativas de Resolución 1798 del 1-11 2023 Minsalud definen las condiciones generales para la operación del SGRL en el Sistema de Afiliación Transaccional —SAT para la afiliación obligatoria y voluntaria de trabajadores independientes?
3. ¿Existen registros (informes, actas, listados, certificados, reportes en plataformas) que evidencien el cumplimiento de Resolución 1798 del 1-11 2023 Minsalud definen las condiciones generales para la operación del SGRL en el Sistema de Afiliación Transaccional —SAT para la afiliación obligatoria y voluntaria de trabajadores independientes?
4. ¿Los responsables del SG-SST realizan seguimiento periódico a los ítems de Resolución 1798 del 1-11 2023 Minsalud definen las condiciones generales para la operación del SGRL en el Sistema de Afiliación Transaccional —SAT para la afiliación obligatoria y voluntaria de trabajadores independientes incluidos en la matriz legal y documentan los resultados?
5. ¿Se han comunicado los requisitos de Resolución 1798 del 1-11 2023 Minsalud definen las condiciones generales para la operación del SGRL en el Sistema de Afiliación Transaccional —SAT para la afiliación obligatoria y voluntaria de trabajadores independientes a los trabajadores, contratistas y proveedores que se ven impactados por esta norma?
6. ¿Las no conformidades asociadas al cumplimiento de Resolución 1798 del 1-11 2023 Minsalud definen las condiciones generales para la operación del SGRL en el Sistema de Afiliación Transaccional —SAT para la afiliación obligatoria y voluntaria de trabajadores independientes generan acciones correctivas o de mejora con responsables y fechas definidas?</t>
  </si>
  <si>
    <t>1. ¿La empresa ha identificado los requisitos específicos de Resolución 14 7 del 29-01 de 2024 Min salud adopta el Formulario Único de Afiliación y Reporte de Novedades al SGRL. Resolución 1271 DE 2023 de 14-08-2023 por la cual se modifican los Anexos Técnicos 1, 2 y 3 de la Resolución número 2388 de 2016. que aplican a su actividad económica y tamaño?
2. ¿Se dispone de procedimientos, instructivos o formatos que permitan cumplir con las exigencias técnicas y administrativas de Resolución 14 7 del 29-01 de 2024 Min salud adopta el Formulario Único de Afiliación y Reporte de Novedades al SGRL. Resolución 1271 DE 2023 de 14-08-2023 por la cual se modifican los Anexos Técnicos 1, 2 y 3 de la Resolución número 2388 de 2016.?
3. ¿Existen registros (informes, actas, listados, certificados, reportes en plataformas) que evidencien el cumplimiento de Resolución 14 7 del 29-01 de 2024 Min salud adopta el Formulario Único de Afiliación y Reporte de Novedades al SGRL. Resolución 1271 DE 2023 de 14-08-2023 por la cual se modifican los Anexos Técnicos 1, 2 y 3 de la Resolución número 2388 de 2016.?
4. ¿Los responsables del SG-SST realizan seguimiento periódico a los ítems de Resolución 14 7 del 29-01 de 2024 Min salud adopta el Formulario Único de Afiliación y Reporte de Novedades al SGRL. Resolución 1271 DE 2023 de 14-08-2023 por la cual se modifican los Anexos Técnicos 1, 2 y 3 de la Resolución número 2388 de 2016. incluidos en la matriz legal y documentan los resultados?
5. ¿Se han comunicado los requisitos de Resolución 14 7 del 29-01 de 2024 Min salud adopta el Formulario Único de Afiliación y Reporte de Novedades al SGRL. Resolución 1271 DE 2023 de 14-08-2023 por la cual se modifican los Anexos Técnicos 1, 2 y 3 de la Resolución número 2388 de 2016. a los trabajadores, contratistas y proveedores que se ven impactados por esta norma?
6. ¿Las no conformidades asociadas al cumplimiento de Resolución 14 7 del 29-01 de 2024 Min salud adopta el Formulario Único de Afiliación y Reporte de Novedades al SGRL. Resolución 1271 DE 2023 de 14-08-2023 por la cual se modifican los Anexos Técnicos 1, 2 y 3 de la Resolución número 2388 de 2016. generan acciones correctivas o de mejora con responsables y fechas definidas?</t>
  </si>
  <si>
    <t>1. ¿La empresa ha identificado los requisitos específicos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que aplican a su actividad económica y tamaño?
2. ¿Se dispone de procedimientos, instructivos o formatos que permitan cumplir con las exigencias técnicas y administrativas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3. ¿Existen registros (informes, actas, listados, certificados, reportes en plataformas) que evidencien el cumplimiento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4. ¿Los responsables del SG-SST realizan seguimiento periódico a los ítems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incluidos en la matriz legal y documentan los resultados?
5. ¿Se han comunicado los requisitos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a los trabajadores, contratistas y proveedores que se ven impactados por esta norma?
6. ¿Las no conformidades asociadas al cumplimiento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generan acciones correctivas o de mejora con responsables y fechas definidas?</t>
  </si>
  <si>
    <t>Resolución 413 del 12-03-2025 Minsalud incorporan nuevas variables en la estructura de la Planilla Integrada de Liquidación de Aportes - PILA, relacionadas con: a. El contratante de trabajadores independientes, el tipo de aportante "Contratante”</t>
  </si>
  <si>
    <t>1. ¿El SG-SST incorpora los requisitos establecidos en Decreto No. 0514 del 09-05 2025 Por el cual se reglamenta y compilan las normas del Sistema de Protección Social Integral para la Vejez, Invalidez y Muerte de origen común, dentro de sus procedimientos, estándares y controles operativos?
2. ¿Se cuenta con documentación actualizada (procedimientos, instructivos, protocolos) que evidencie la implementación de lo definido en Decreto No. 0514 del 09-05 2025 Por el cual se reglamenta y compilan las normas del Sistema de Protección Social Integral para la Vejez, Invalidez y Muerte de origen común,?
3. ¿Se verifica de manera periódica el cumplimiento de Decreto No. 0514 del 09-05 2025 Por el cual se reglamenta y compilan las normas del Sistema de Protección Social Integral para la Vejez, Invalidez y Muerte de origen común, en auditorías internas, inspecciones o revisiones de la matriz legal?
4. ¿Los responsables de cada proceso conocen las obligaciones derivadas de Decreto No. 0514 del 09-05 2025 Por el cual se reglamenta y compilan las normas del Sistema de Protección Social Integral para la Vejez, Invalidez y Muerte de origen común, que les aplican y cuentan con los recursos para cumplirlas?
5. ¿Se conservan registros (informes, actas, listas de verificación, reportes) que demuestren la aplicación práctica de Decreto No. 0514 del 09-05 2025 Por el cual se reglamenta y compilan las normas del Sistema de Protección Social Integral para la Vejez, Invalidez y Muerte de origen común, en la empresa?
6. ¿Las actualizaciones o derogatorias relacionadas con Decreto No. 0514 del 09-05 2025 Por el cual se reglamenta y compilan las normas del Sistema de Protección Social Integral para la Vejez, Invalidez y Muerte de origen común, se reflejan oportunamente en la matriz legal y en los documentos del SG-SST?</t>
  </si>
  <si>
    <t>Indicadores</t>
  </si>
  <si>
    <t>1. ¿El SG-SST incorpora los requisitos establecidos en Decreto 1295/94 Art. 61. Se deben llevar estadísticas de ausentismo. dentro de sus procedimientos, estándares y controles operativos?
2. ¿Se cuenta con documentación actualizada (procedimientos, instructivos, protocolos) que evidencie la implementación de lo definido en Decreto 1295/94 Art. 61. Se deben llevar estadísticas de ausentismo.?
3. ¿Se verifica de manera periódica el cumplimiento de Decreto 1295/94 Art. 61. Se deben llevar estadísticas de ausentismo. en auditorías internas, inspecciones o revisiones de la matriz legal?
4. ¿Los responsables de cada proceso conocen las obligaciones derivadas de Decreto 1295/94 Art. 61. Se deben llevar estadísticas de ausentismo. que les aplican y cuentan con los recursos para cumplirlas?
5. ¿Se conservan registros (informes, actas, listas de verificación, reportes) que demuestren la aplicación práctica de Decreto 1295/94 Art. 61. Se deben llevar estadísticas de ausentismo. en la empresa?
6. ¿Las actualizaciones o derogatorias relacionadas con Decreto 1295/94 Art. 61. Se deben llevar estadísticas de ausentismo. se reflejan oportunamente en la matriz legal y en los documentos del SG-SST?</t>
  </si>
  <si>
    <t>1. ¿El SG-SST incorpora los requisitos establecidos en Decreto1072/15 arts. 19 ficha de indicadores,20 indicadores de estructura,21 indicares de proceso y 22 indicadores de resultados R. 0312/19 art 30 indicadores mínimos dentro de sus procedimientos, estándares y controles operativos?
2. ¿Se cuenta con documentación actualizada (procedimientos, instructivos, protocolos) que evidencie la implementación de lo definido en Decreto1072/15 arts. 19 ficha de indicadores,20 indicadores de estructura,21 indicares de proceso y 22 indicadores de resultados R. 0312/19 art 30 indicadores mínimos?
3. ¿Se verifica de manera periódica el cumplimiento de Decreto1072/15 arts. 19 ficha de indicadores,20 indicadores de estructura,21 indicares de proceso y 22 indicadores de resultados R. 0312/19 art 30 indicadores mínimos en auditorías internas, inspecciones o revisiones de la matriz legal?
4. ¿Los responsables de cada proceso conocen las obligaciones derivadas de Decreto1072/15 arts. 19 ficha de indicadores,20 indicadores de estructura,21 indicares de proceso y 22 indicadores de resultados R. 0312/19 art 30 indicadores mínimos que les aplican y cuentan con los recursos para cumplirlas?
5. ¿Se conservan registros (informes, actas, listas de verificación, reportes) que demuestren la aplicación práctica de Decreto1072/15 arts. 19 ficha de indicadores,20 indicadores de estructura,21 indicares de proceso y 22 indicadores de resultados R. 0312/19 art 30 indicadores mínimos en la empresa?
6. ¿Las actualizaciones o derogatorias relacionadas con Decreto1072/15 arts. 19 ficha de indicadores,20 indicadores de estructura,21 indicares de proceso y 22 indicadores de resultados R. 0312/19 art 30 indicadores mínimos se reflejan oportunamente en la matriz legal y en los documentos del SG-SST?</t>
  </si>
  <si>
    <t>1. ¿La empresa ha registrado en la matriz legal las obligaciones derivadas de R. 0312/19 art 30 indicadores mínimos y ha definido su aplicabilidad?
2. ¿Los procedimientos y controles del SG-SST contemplan lo establecido en R. 0312/19 art 30 indicadores mínimos para las actividades y procesos de la organización?
3. ¿Existe evidencia documental (registros, informes, actas, comunicaciones) que demuestre la aplicación de R. 0312/19 art 30 indicadores mínimos?
4. ¿Se ha socializado el contenido de R. 0312/19 art 30 indicadores mínimos con los responsables de cada proceso y con los trabajadores cuando es pertinente?
5. ¿Se revisa periódicamente el cumplimiento de R. 0312/19 art 30 indicadores mínimos y se generan planes de acción cuando se identifican desviaciones?
6. ¿La matriz legal se mantiene actualizada frente a modificaciones, derogatorias o nuevas disposiciones relacionadas con R. 0312/19 art 30 indicadores mínimos?</t>
  </si>
  <si>
    <t>Contratistas</t>
  </si>
  <si>
    <t>1. ¿El SG-SST incorpora los requisitos establecidos en Decreto 1703/02 Art. 23. Pago SSI de otros tipos de contrato. Temporales, en misión, independientes. SG-SST para contratistas. dentro de sus procedimientos, estándares y controles operativos?
2. ¿Se cuenta con documentación actualizada (procedimientos, instructivos, protocolos) que evidencie la implementación de lo definido en Decreto 1703/02 Art. 23. Pago SSI de otros tipos de contrato. Temporales, en misión, independientes. SG-SST para contratistas.?
3. ¿Se verifica de manera periódica el cumplimiento de Decreto 1703/02 Art. 23. Pago SSI de otros tipos de contrato. Temporales, en misión, independientes. SG-SST para contratistas. en auditorías internas, inspecciones o revisiones de la matriz legal?
4. ¿Los responsables de cada proceso conocen las obligaciones derivadas de Decreto 1703/02 Art. 23. Pago SSI de otros tipos de contrato. Temporales, en misión, independientes. SG-SST para contratistas. que les aplican y cuentan con los recursos para cumplirlas?
5. ¿Se conservan registros (informes, actas, listas de verificación, reportes) que demuestren la aplicación práctica de Decreto 1703/02 Art. 23. Pago SSI de otros tipos de contrato. Temporales, en misión, independientes. SG-SST para contratistas. en la empresa?
6. ¿Las actualizaciones o derogatorias relacionadas con Decreto 1703/02 Art. 23. Pago SSI de otros tipos de contrato. Temporales, en misión, independientes. SG-SST para contratistas. se reflejan oportunamente en la matriz legal y en los documentos del SG-SST?</t>
  </si>
  <si>
    <t>1. ¿El SG-SST incorpora los requisitos establecidos en Decreto 2800 de 2003 (Art, 3-15) dentro de sus procedimientos, estándares y controles operativos?
2. ¿Se cuenta con documentación actualizada (procedimientos, instructivos, protocolos) que evidencie la implementación de lo definido en Decreto 2800 de 2003 (Art, 3-15)?
3. ¿Se verifica de manera periódica el cumplimiento de Decreto 2800 de 2003 (Art, 3-15) en auditorías internas, inspecciones o revisiones de la matriz legal?
4. ¿Los responsables de cada proceso conocen las obligaciones derivadas de Decreto 2800 de 2003 (Art, 3-15) que les aplican y cuentan con los recursos para cumplirlas?
5. ¿Se conservan registros (informes, actas, listas de verificación, reportes) que demuestren la aplicación práctica de Decreto 2800 de 2003 (Art, 3-15) en la empresa?
6. ¿Las actualizaciones o derogatorias relacionadas con Decreto 2800 de 2003 (Art, 3-15) se reflejan oportunamente en la matriz legal y en los documentos del SG-SST?</t>
  </si>
  <si>
    <t>1. ¿La empresa ha registrado en la matriz legal las obligaciones derivadas de Decisión 584 de 2004 (Art. 2) y ha definido su aplicabilidad?
2. ¿Los procedimientos y controles del SG-SST contemplan lo establecido en Decisión 584 de 2004 (Art. 2) para las actividades y procesos de la organización?
3. ¿Existe evidencia documental (registros, informes, actas, comunicaciones) que demuestre la aplicación de Decisión 584 de 2004 (Art. 2)?
4. ¿Se ha socializado el contenido de Decisión 584 de 2004 (Art. 2) con los responsables de cada proceso y con los trabajadores cuando es pertinente?
5. ¿Se revisa periódicamente el cumplimiento de Decisión 584 de 2004 (Art. 2) y se generan planes de acción cuando se identifican desviaciones?
6. ¿La matriz legal se mantiene actualizada frente a modificaciones, derogatorias o nuevas disposiciones relacionadas con Decisión 584 de 2004 (Art. 2)?</t>
  </si>
  <si>
    <t>1. ¿El SG-SST incorpora los requisitos establecidos en Decreto 1530 de 1996 (Art. 10,11) dentro de sus procedimientos, estándares y controles operativos?
2. ¿Se cuenta con documentación actualizada (procedimientos, instructivos, protocolos) que evidencie la implementación de lo definido en Decreto 1530 de 1996 (Art. 10,11)?
3. ¿Se verifica de manera periódica el cumplimiento de Decreto 1530 de 1996 (Art. 10,11) en auditorías internas, inspecciones o revisiones de la matriz legal?
4. ¿Los responsables de cada proceso conocen las obligaciones derivadas de Decreto 1530 de 1996 (Art. 10,11) que les aplican y cuentan con los recursos para cumplirlas?
5. ¿Se conservan registros (informes, actas, listas de verificación, reportes) que demuestren la aplicación práctica de Decreto 1530 de 1996 (Art. 10,11) en la empresa?
6. ¿Las actualizaciones o derogatorias relacionadas con Decreto 1530 de 1996 (Art. 10,11) se reflejan oportunamente en la matriz legal y en los documentos del SG-SST?</t>
  </si>
  <si>
    <t>1. ¿La empresa conoce y ha analizado los lineamientos impartidos en Circular 0055/11 frente a su actividad y condiciones de trabajo?
2. ¿Se han incorporado en los procedimientos internos las orientaciones y criterios definidos en Circular 0055/11?
3. ¿Existe evidencia de comunicación interna (correos, circulares, actas) sobre el contenido de Circular 0055/11 a las áreas responsables?
4. ¿Se verifica en auditorías o revisiones internas el cumplimiento de las instrucciones dadas en Circular 0055/11?
5. ¿Los cambios o nuevas circulares que complementan o sustituyen a Circular 0055/11 se actualizan oportunamente en la matriz legal?
6. ¿Se conservan registros de las decisiones tomadas a partir de Circular 0055/11 en relación con el SG-SST?</t>
  </si>
  <si>
    <t>1. ¿El SG-SST incorpora los requisitos establecidos en Decreto 948 de 2018, Planilla electrónica (Art 1 -3).Establecer, los plazos para la utilización obligatoria de la Planilla Integrada de Liquidación de Aportes - PILA, D. 676/2020 dentro de sus procedimientos, estándares y controles operativos?
2. ¿Se cuenta con documentación actualizada (procedimientos, instructivos, protocolos) que evidencie la implementación de lo definido en Decreto 948 de 2018, Planilla electrónica (Art 1 -3).Establecer, los plazos para la utilización obligatoria de la Planilla Integrada de Liquidación de Aportes - PILA, D. 676/2020?
3. ¿Se verifica de manera periódica el cumplimiento de Decreto 948 de 2018, Planilla electrónica (Art 1 -3).Establecer, los plazos para la utilización obligatoria de la Planilla Integrada de Liquidación de Aportes - PILA, D. 676/2020 en auditorías internas, inspecciones o revisiones de la matriz legal?
4. ¿Los responsables de cada proceso conocen las obligaciones derivadas de Decreto 948 de 2018, Planilla electrónica (Art 1 -3).Establecer, los plazos para la utilización obligatoria de la Planilla Integrada de Liquidación de Aportes - PILA, D. 676/2020 que les aplican y cuentan con los recursos para cumplirlas?
5. ¿Se conservan registros (informes, actas, listas de verificación, reportes) que demuestren la aplicación práctica de Decreto 948 de 2018, Planilla electrónica (Art 1 -3).Establecer, los plazos para la utilización obligatoria de la Planilla Integrada de Liquidación de Aportes - PILA, D. 676/2020 en la empresa?
6. ¿Las actualizaciones o derogatorias relacionadas con Decreto 948 de 2018, Planilla electrónica (Art 1 -3).Establecer, los plazos para la utilización obligatoria de la Planilla Integrada de Liquidación de Aportes - PILA, D. 676/2020 se reflejan oportunamente en la matriz legal y en los documentos del SG-SST?</t>
  </si>
  <si>
    <t>COPASST</t>
  </si>
  <si>
    <t>1. ¿El SG-SST incorpora los requisitos establecidos en Decreto 1295/94 art 63 dentro de sus procedimientos, estándares y controles operativos?
2. ¿Se cuenta con documentación actualizada (procedimientos, instructivos, protocolos) que evidencie la implementación de lo definido en Decreto 1295/94 art 63?
3. ¿Se verifica de manera periódica el cumplimiento de Decreto 1295/94 art 63 en auditorías internas, inspecciones o revisiones de la matriz legal?
4. ¿Los responsables de cada proceso conocen las obligaciones derivadas de Decreto 1295/94 art 63 que les aplican y cuentan con los recursos para cumplirlas?
5. ¿Se conservan registros (informes, actas, listas de verificación, reportes) que demuestren la aplicación práctica de Decreto 1295/94 art 63 en la empresa?
6. ¿Las actualizaciones o derogatorias relacionadas con Decreto 1295/94 art 63 se reflejan oportunamente en la matriz legal y en los documentos del SG-SST?</t>
  </si>
  <si>
    <t>1. ¿El SG-SST incorpora los requisitos establecidos en Decreto-ley 1295 de 1994. El comité paritario ya no requiere registro ante el ministerio. dentro de sus procedimientos, estándares y controles operativos?
2. ¿Se cuenta con documentación actualizada (procedimientos, instructivos, protocolos) que evidencie la implementación de lo definido en Decreto-ley 1295 de 1994. El comité paritario ya no requiere registro ante el ministerio.?
3. ¿Se verifica de manera periódica el cumplimiento de Decreto-ley 1295 de 1994. El comité paritario ya no requiere registro ante el ministerio. en auditorías internas, inspecciones o revisiones de la matriz legal?
4. ¿Los responsables de cada proceso conocen las obligaciones derivadas de Decreto-ley 1295 de 1994. El comité paritario ya no requiere registro ante el ministerio. que les aplican y cuentan con los recursos para cumplirlas?
5. ¿Se conservan registros (informes, actas, listas de verificación, reportes) que demuestren la aplicación práctica de Decreto-ley 1295 de 1994. El comité paritario ya no requiere registro ante el ministerio. en la empresa?
6. ¿Las actualizaciones o derogatorias relacionadas con Decreto-ley 1295 de 1994. El comité paritario ya no requiere registro ante el ministerio. se reflejan oportunamente en la matriz legal y en los documentos del SG-SST?</t>
  </si>
  <si>
    <t>1. ¿La empresa conoce y ha analizado los lineamientos impartidos en Circular 25 del 13-07-2022 Min trabajo Incentivar la conformación inclusiva del COPASST frente a su actividad y condiciones de trabajo?
2. ¿Se han incorporado en los procedimientos internos las orientaciones y criterios definidos en Circular 25 del 13-07-2022 Min trabajo Incentivar la conformación inclusiva del COPASST?
3. ¿Existe evidencia de comunicación interna (correos, circulares, actas) sobre el contenido de Circular 25 del 13-07-2022 Min trabajo Incentivar la conformación inclusiva del COPASST a las áreas responsables?
4. ¿Se verifica en auditorías o revisiones internas el cumplimiento de las instrucciones dadas en Circular 25 del 13-07-2022 Min trabajo Incentivar la conformación inclusiva del COPASST?
5. ¿Los cambios o nuevas circulares que complementan o sustituyen a Circular 25 del 13-07-2022 Min trabajo Incentivar la conformación inclusiva del COPASST se actualizan oportunamente en la matriz legal?
6. ¿Se conservan registros de las decisiones tomadas a partir de Circular 25 del 13-07-2022 Min trabajo Incentivar la conformación inclusiva del COPASST en relación con el SG-SST?</t>
  </si>
  <si>
    <t>Accidente de Trabajo</t>
  </si>
  <si>
    <t>1. ¿La empresa ha identificado los requisitos específicos de Resolución. 1401/07 Del art. 1 al 15 , esta Resolución fija las obligaciones y requisitos mínimos para realizar la investigación de incidentes y accidentes de trabajo. que aplican a su actividad económica y tamaño?
2. ¿Se dispone de procedimientos, instructivos o formatos que permitan cumplir con las exigencias técnicas y administrativas de Resolución. 1401/07 Del art. 1 al 15 , esta Resolución fija las obligaciones y requisitos mínimos para realizar la investigación de incidentes y accidentes de trabajo.?
3. ¿Existen registros (informes, actas, listados, certificados, reportes en plataformas) que evidencien el cumplimiento de Resolución. 1401/07 Del art. 1 al 15 , esta Resolución fija las obligaciones y requisitos mínimos para realizar la investigación de incidentes y accidentes de trabajo.?
4. ¿Los responsables del SG-SST realizan seguimiento periódico a los ítems de Resolución. 1401/07 Del art. 1 al 15 , esta Resolución fija las obligaciones y requisitos mínimos para realizar la investigación de incidentes y accidentes de trabajo. incluidos en la matriz legal y documentan los resultados?
5. ¿Se han comunicado los requisitos de Resolución. 1401/07 Del art. 1 al 15 , esta Resolución fija las obligaciones y requisitos mínimos para realizar la investigación de incidentes y accidentes de trabajo. a los trabajadores, contratistas y proveedores que se ven impactados por esta norma?
6. ¿Las no conformidades asociadas al cumplimiento de Resolución. 1401/07 Del art. 1 al 15 , esta Resolución fija las obligaciones y requisitos mínimos para realizar la investigación de incidentes y accidentes de trabajo. generan acciones correctivas o de mejora con responsables y fechas definidas?</t>
  </si>
  <si>
    <t>Criterio minería cielo abierto para el reporte del AT</t>
  </si>
  <si>
    <t>1. ¿El SG-SST incorpora los requisitos establecidos en Decreto 873 DE 2001 promulga el "Convenio número 161 sobre los Servicios de Salud en el Trabajo "Decisión 584/04 Art. 11f,g dentro de sus procedimientos, estándares y controles operativos?
2. ¿Se cuenta con documentación actualizada (procedimientos, instructivos, protocolos) que evidencie la implementación de lo definido en Decreto 873 DE 2001 promulga el "Convenio número 161 sobre los Servicios de Salud en el Trabajo "Decisión 584/04 Art. 11f,g?
3. ¿Se verifica de manera periódica el cumplimiento de Decreto 873 DE 2001 promulga el "Convenio número 161 sobre los Servicios de Salud en el Trabajo "Decisión 584/04 Art. 11f,g en auditorías internas, inspecciones o revisiones de la matriz legal?
4. ¿Los responsables de cada proceso conocen las obligaciones derivadas de Decreto 873 DE 2001 promulga el "Convenio número 161 sobre los Servicios de Salud en el Trabajo "Decisión 584/04 Art. 11f,g que les aplican y cuentan con los recursos para cumplirlas?
5. ¿Se conservan registros (informes, actas, listas de verificación, reportes) que demuestren la aplicación práctica de Decreto 873 DE 2001 promulga el "Convenio número 161 sobre los Servicios de Salud en el Trabajo "Decisión 584/04 Art. 11f,g en la empresa?
6. ¿Las actualizaciones o derogatorias relacionadas con Decreto 873 DE 2001 promulga el "Convenio número 161 sobre los Servicios de Salud en el Trabajo "Decisión 584/04 Art. 11f,g se reflejan oportunamente en la matriz legal y en los documentos del SG-SST?</t>
  </si>
  <si>
    <t>1. ¿La empresa ha identificado los requisitos específicos de Resolución 156/05 art.3 (Reportar el AT dentro 2 días hábiles) que aplican a su actividad económica y tamaño?
2. ¿Se dispone de procedimientos, instructivos o formatos que permitan cumplir con las exigencias técnicas y administrativas de Resolución 156/05 art.3 (Reportar el AT dentro 2 días hábiles)?
3. ¿Existen registros (informes, actas, listados, certificados, reportes en plataformas) que evidencien el cumplimiento de Resolución 156/05 art.3 (Reportar el AT dentro 2 días hábiles)?
4. ¿Los responsables del SG-SST realizan seguimiento periódico a los ítems de Resolución 156/05 art.3 (Reportar el AT dentro 2 días hábiles) incluidos en la matriz legal y documentan los resultados?
5. ¿Se han comunicado los requisitos de Resolución 156/05 art.3 (Reportar el AT dentro 2 días hábiles) a los trabajadores, contratistas y proveedores que se ven impactados por esta norma?
6. ¿Las no conformidades asociadas al cumplimiento de Resolución 156/05 art.3 (Reportar el AT dentro 2 días hábiles) generan acciones correctivas o de mejora con responsables y fechas definidas?</t>
  </si>
  <si>
    <t>1. ¿El SG-SST incorpora los requisitos establecidos en Decreto Ley 1295/94 Art. 62 reportar simultáneamente a la EPS y ARL los accidentes. dentro de sus procedimientos, estándares y controles operativos?
2. ¿Se cuenta con documentación actualizada (procedimientos, instructivos, protocolos) que evidencie la implementación de lo definido en Decreto Ley 1295/94 Art. 62 reportar simultáneamente a la EPS y ARL los accidentes.?
3. ¿Se verifica de manera periódica el cumplimiento de Decreto Ley 1295/94 Art. 62 reportar simultáneamente a la EPS y ARL los accidentes. en auditorías internas, inspecciones o revisiones de la matriz legal?
4. ¿Los responsables de cada proceso conocen las obligaciones derivadas de Decreto Ley 1295/94 Art. 62 reportar simultáneamente a la EPS y ARL los accidentes. que les aplican y cuentan con los recursos para cumplirlas?
5. ¿Se conservan registros (informes, actas, listas de verificación, reportes) que demuestren la aplicación práctica de Decreto Ley 1295/94 Art. 62 reportar simultáneamente a la EPS y ARL los accidentes. en la empresa?
6. ¿Las actualizaciones o derogatorias relacionadas con Decreto Ley 1295/94 Art. 62 reportar simultáneamente a la EPS y ARL los accidentes. se reflejan oportunamente en la matriz legal y en los documentos del SG-SST?</t>
  </si>
  <si>
    <t>1. ¿La empresa ha identificado y documentado en la matriz legal las obligaciones derivadas de Ley 1562/12 art. 3 definición de accidente de trabajo. y su relación con el SG-SST?
2. ¿Las políticas, procedimientos y programas del SG-SST incorporan de forma explícita los lineamientos establecidos en Ley 1562/12 art. 3 definición de accidente de trabajo.?
3. ¿Existe evidencia documental (actas, comunicaciones, registros, contratos, entre otros) que demuestre la aplicación de Ley 1562/12 art. 3 definición de accidente de trabajo. en la organización?
4. ¿Se ha socializado con trabajadores, líderes y responsables del SG-SST el contenido y alcance de Ley 1562/12 art. 3 definición de accidente de trabajo. y sus implicaciones en seguridad y salud en el trabajo?
5. ¿Se realiza seguimiento periódico al cumplimiento de Ley 1562/12 art. 3 definición de accidente de trabajo., dejando soportes de las revisiones y acciones de mejora cuando se identifican brechas?
6. ¿Los cambios o reformas a Ley 1562/12 art. 3 definición de accidente de trabajo. se registran oportunamente en la matriz legal y se comunican a los procesos impactados?</t>
  </si>
  <si>
    <t>1. ¿El SG-SST incorpora los requisitos establecidos en Decreto 1072/2015 art 2.2.4.6.32, y Artículo 2.2.4.1.6. y Artículo 2.2.4.1.7 Accidente de trabajo y enfermedad laboral con muerte del trabajador. Decreto 1530 de 1996, art. 4) dentro de sus procedimientos, estándares y controles operativos?
2. ¿Se cuenta con documentación actualizada (procedimientos, instructivos, protocolos) que evidencie la implementación de lo definido en Decreto 1072/2015 art 2.2.4.6.32, y Artículo 2.2.4.1.6. y Artículo 2.2.4.1.7 Accidente de trabajo y enfermedad laboral con muerte del trabajador. Decreto 1530 de 1996, art. 4)?
3. ¿Se verifica de manera periódica el cumplimiento de Decreto 1072/2015 art 2.2.4.6.32, y Artículo 2.2.4.1.6. y Artículo 2.2.4.1.7 Accidente de trabajo y enfermedad laboral con muerte del trabajador. Decreto 1530 de 1996, art. 4) en auditorías internas, inspecciones o revisiones de la matriz legal?
4. ¿Los responsables de cada proceso conocen las obligaciones derivadas de Decreto 1072/2015 art 2.2.4.6.32, y Artículo 2.2.4.1.6. y Artículo 2.2.4.1.7 Accidente de trabajo y enfermedad laboral con muerte del trabajador. Decreto 1530 de 1996, art. 4) que les aplican y cuentan con los recursos para cumplirlas?
5. ¿Se conservan registros (informes, actas, listas de verificación, reportes) que demuestren la aplicación práctica de Decreto 1072/2015 art 2.2.4.6.32, y Artículo 2.2.4.1.6. y Artículo 2.2.4.1.7 Accidente de trabajo y enfermedad laboral con muerte del trabajador. Decreto 1530 de 1996, art. 4) en la empresa?
6. ¿Las actualizaciones o derogatorias relacionadas con Decreto 1072/2015 art 2.2.4.6.32, y Artículo 2.2.4.1.6. y Artículo 2.2.4.1.7 Accidente de trabajo y enfermedad laboral con muerte del trabajador. Decreto 1530 de 1996, art. 4) se reflejan oportunamente en la matriz legal y en los documentos del SG-SST?</t>
  </si>
  <si>
    <t>1. ¿El SG-SST incorpora los requisitos establecidos en Decreto 1530 de 1996, art. 4) dentro de sus procedimientos, estándares y controles operativos?
2. ¿Se cuenta con documentación actualizada (procedimientos, instructivos, protocolos) que evidencie la implementación de lo definido en Decreto 1530 de 1996, art. 4)?
3. ¿Se verifica de manera periódica el cumplimiento de Decreto 1530 de 1996, art. 4) en auditorías internas, inspecciones o revisiones de la matriz legal?
4. ¿Los responsables de cada proceso conocen las obligaciones derivadas de Decreto 1530 de 1996, art. 4) que les aplican y cuentan con los recursos para cumplirlas?
5. ¿Se conservan registros (informes, actas, listas de verificación, reportes) que demuestren la aplicación práctica de Decreto 1530 de 1996, art. 4) en la empresa?
6. ¿Las actualizaciones o derogatorias relacionadas con Decreto 1530 de 1996, art. 4) se reflejan oportunamente en la matriz legal y en los documentos del SG-SST?</t>
  </si>
  <si>
    <t>1. ¿La empresa conoce y ha analizado los lineamientos impartidos en Circular 69 DEL 25-10-2024 prestaciones AT Transporte frente a su actividad y condiciones de trabajo?
2. ¿Se han incorporado en los procedimientos internos las orientaciones y criterios definidos en Circular 69 DEL 25-10-2024 prestaciones AT Transporte?
3. ¿Existe evidencia de comunicación interna (correos, circulares, actas) sobre el contenido de Circular 69 DEL 25-10-2024 prestaciones AT Transporte a las áreas responsables?
4. ¿Se verifica en auditorías o revisiones internas el cumplimiento de las instrucciones dadas en Circular 69 DEL 25-10-2024 prestaciones AT Transporte?
5. ¿Los cambios o nuevas circulares que complementan o sustituyen a Circular 69 DEL 25-10-2024 prestaciones AT Transporte se actualizan oportunamente en la matriz legal?
6. ¿Se conservan registros de las decisiones tomadas a partir de Circular 69 DEL 25-10-2024 prestaciones AT Transporte en relación con el SG-SST?</t>
  </si>
  <si>
    <t>1. ¿El SG-SST incorpora los requisitos establecidos en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dentro de sus procedimientos, estándares y controles operativos?
2. ¿Se cuenta con documentación actualizada (procedimientos, instructivos, protocolos) que evidencie la implementación de lo definido en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3. ¿Se verifica de manera periódica el cumplimiento de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en auditorías internas, inspecciones o revisiones de la matriz legal?
4. ¿Los responsables de cada proceso conocen las obligaciones derivadas de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que les aplican y cuentan con los recursos para cumplirlas?
5. ¿Se conservan registros (informes, actas, listas de verificación, reportes) que demuestren la aplicación práctica de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en la empresa?
6. ¿Las actualizaciones o derogatorias relacionadas con D. 1072/15 Art 2.2.1.5.3. Contrato o vinculación de teletrabajo, Artículo 2.2.1.5.4. Igualdad de trato., Artículo 2.2.1.5.5. Uso adecuado de equipos y programas informáticos RIT, Artículo 2.2.1.5.8. Obligaciones de las partes en seguridad y previsión de riesgos laborales, Artículo 2.2.1.5.10. Auxilio de transporte, horas extras, dominicales y festivos para los tele trabajadores. se reflejan oportunamente en la matriz legal y en los documentos del SG-SST?</t>
  </si>
  <si>
    <t>Por revisar por la empresa</t>
  </si>
  <si>
    <t>1. ¿La empresa ha identificado y documentado en la matriz legal las obligaciones derivadas de Ley 1221 de 2008 Por la cual se establecen normas para promover y regular el Teletrabajo y se dictan otras disposiciones. Circular 27 del 20219 preciciones sobre la implementación del teletrabajo y su relación con el SG-SST?
2. ¿Las políticas, procedimientos y programas del SG-SST incorporan de forma explícita los lineamientos establecidos en Ley 1221 de 2008 Por la cual se establecen normas para promover y regular el Teletrabajo y se dictan otras disposiciones. Circular 27 del 20219 preciciones sobre la implementación del teletrabajo?
3. ¿Existe evidencia documental (actas, comunicaciones, registros, contratos, entre otros) que demuestre la aplicación de Ley 1221 de 2008 Por la cual se establecen normas para promover y regular el Teletrabajo y se dictan otras disposiciones. Circular 27 del 20219 preciciones sobre la implementación del teletrabajo en la organización?
4. ¿Se ha socializado con trabajadores, líderes y responsables del SG-SST el contenido y alcance de Ley 1221 de 2008 Por la cual se establecen normas para promover y regular el Teletrabajo y se dictan otras disposiciones. Circular 27 del 20219 preciciones sobre la implementación del teletrabajo y sus implicaciones en seguridad y salud en el trabajo?
5. ¿Se realiza seguimiento periódico al cumplimiento de Ley 1221 de 2008 Por la cual se establecen normas para promover y regular el Teletrabajo y se dictan otras disposiciones. Circular 27 del 20219 preciciones sobre la implementación del teletrabajo, dejando soportes de las revisiones y acciones de mejora cuando se identifican brechas?
6. ¿Los cambios o reformas a Ley 1221 de 2008 Por la cual se establecen normas para promover y regular el Teletrabajo y se dictan otras disposiciones. Circular 27 del 20219 preciciones sobre la implementación del teletrabajo se registran oportunamente en la matriz legal y se comunican a los procesos impactados?</t>
  </si>
  <si>
    <t>1. ¿La empresa conoce y ha analizado los lineamientos impartidos en Circular 27 del 20219 preciciones sobre la implementación del teletrabajo frente a su actividad y condiciones de trabajo?
2. ¿Se han incorporado en los procedimientos internos las orientaciones y criterios definidos en Circular 27 del 20219 preciciones sobre la implementación del teletrabajo?
3. ¿Existe evidencia de comunicación interna (correos, circulares, actas) sobre el contenido de Circular 27 del 20219 preciciones sobre la implementación del teletrabajo a las áreas responsables?
4. ¿Se verifica en auditorías o revisiones internas el cumplimiento de las instrucciones dadas en Circular 27 del 20219 preciciones sobre la implementación del teletrabajo?
5. ¿Los cambios o nuevas circulares que complementan o sustituyen a Circular 27 del 20219 preciciones sobre la implementación del teletrabajo se actualizan oportunamente en la matriz legal?
6. ¿Se conservan registros de las decisiones tomadas a partir de Circular 27 del 20219 preciciones sobre la implementación del teletrabajo en relación con el SG-SST?</t>
  </si>
  <si>
    <t>1. ¿El SG-SST incorpora los requisitos establecidos en D. 1227 del 18-07-2022 Mintrabajo modifica normas del teletrabajo dentro de sus procedimientos, estándares y controles operativos?
2. ¿Se cuenta con documentación actualizada (procedimientos, instructivos, protocolos) que evidencie la implementación de lo definido en D. 1227 del 18-07-2022 Mintrabajo modifica normas del teletrabajo?
3. ¿Se verifica de manera periódica el cumplimiento de D. 1227 del 18-07-2022 Mintrabajo modifica normas del teletrabajo en auditorías internas, inspecciones o revisiones de la matriz legal?
4. ¿Los responsables de cada proceso conocen las obligaciones derivadas de D. 1227 del 18-07-2022 Mintrabajo modifica normas del teletrabajo que les aplican y cuentan con los recursos para cumplirlas?
5. ¿Se conservan registros (informes, actas, listas de verificación, reportes) que demuestren la aplicación práctica de D. 1227 del 18-07-2022 Mintrabajo modifica normas del teletrabajo en la empresa?
6. ¿Las actualizaciones o derogatorias relacionadas con D. 1227 del 18-07-2022 Mintrabajo modifica normas del teletrabajo se reflejan oportunamente en la matriz legal y en los documentos del SG-SST?</t>
  </si>
  <si>
    <t>Sustancias Psicoactivas (SPA)</t>
  </si>
  <si>
    <t>1. ¿La empresa ha identificado y documentado en la matriz legal las obligaciones derivadas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y su relación con el SG-SST?
2. ¿Las políticas, procedimientos y programas del SG-SST incorporan de forma explícita los lineamientos establecidos en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3. ¿Existe evidencia documental (actas, comunicaciones, registros, contratos, entre otros) que demuestre la aplicación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en la organización?
4. ¿Se ha socializado con trabajadores, líderes y responsables del SG-SST el contenido y alcance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y sus implicaciones en seguridad y salud en el trabajo?
5. ¿Se realiza seguimiento periódico al cumplimiento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dejando soportes de las revisiones y acciones de mejora cuando se identifican brechas?
6. ¿Los cambios o reformas a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se registran oportunamente en la matriz legal y se comunican a los procesos impactados?</t>
  </si>
  <si>
    <t>1. ¿La empresa conoce y ha analizado los lineamientos impartidos en Circular 038 de 2010 Numeral 2 Ejecución de la R. 1075 de 1992, que determina de manera clara y perentoria que los empleadores públicos y privados deben incluir dentro de las actividades del Subprograma de Medicina Preventiva frente a su actividad y condiciones de trabajo?
2. ¿Se han incorporado en los procedimientos internos las orientaciones y criterios definidos en Circular 038 de 2010 Numeral 2 Ejecución de la R. 1075 de 1992, que determina de manera clara y perentoria que los empleadores públicos y privados deben incluir dentro de las actividades del Subprograma de Medicina Preventiva?
3. ¿Existe evidencia de comunicación interna (correos, circulares, actas) sobre el contenido de Circular 038 de 2010 Numeral 2 Ejecución de la R. 1075 de 1992, que determina de manera clara y perentoria que los empleadores públicos y privados deben incluir dentro de las actividades del Subprograma de Medicina Preventiva a las áreas responsables?
4. ¿Se verifica en auditorías o revisiones internas el cumplimiento de las instrucciones dadas en Circular 038 de 2010 Numeral 2 Ejecución de la R. 1075 de 1992, que determina de manera clara y perentoria que los empleadores públicos y privados deben incluir dentro de las actividades del Subprograma de Medicina Preventiva?
5. ¿Los cambios o nuevas circulares que complementan o sustituyen a Circular 038 de 2010 Numeral 2 Ejecución de la R. 1075 de 1992, que determina de manera clara y perentoria que los empleadores públicos y privados deben incluir dentro de las actividades del Subprograma de Medicina Preventiva se actualizan oportunamente en la matriz legal?
6. ¿Se conservan registros de las decisiones tomadas a partir de Circular 038 de 2010 Numeral 2 Ejecución de la R. 1075 de 1992, que determina de manera clara y perentoria que los empleadores públicos y privados deben incluir dentro de las actividades del Subprograma de Medicina Preventiva en relación con el SG-SST?</t>
  </si>
  <si>
    <t>1. ¿La empresa ha identificado los requisitos específicos de Resolución 1956 Art. 2 y 4 Prohibición de fumar en lugares público o cerrados, que aplican a su actividad económica y tamaño?
2. ¿Se dispone de procedimientos, instructivos o formatos que permitan cumplir con las exigencias técnicas y administrativas de Resolución 1956 Art. 2 y 4 Prohibición de fumar en lugares público o cerrados,?
3. ¿Existen registros (informes, actas, listados, certificados, reportes en plataformas) que evidencien el cumplimiento de Resolución 1956 Art. 2 y 4 Prohibición de fumar en lugares público o cerrados,?
4. ¿Los responsables del SG-SST realizan seguimiento periódico a los ítems de Resolución 1956 Art. 2 y 4 Prohibición de fumar en lugares público o cerrados, incluidos en la matriz legal y documentan los resultados?
5. ¿Se han comunicado los requisitos de Resolución 1956 Art. 2 y 4 Prohibición de fumar en lugares público o cerrados, a los trabajadores, contratistas y proveedores que se ven impactados por esta norma?
6. ¿Las no conformidades asociadas al cumplimiento de Resolución 1956 Art. 2 y 4 Prohibición de fumar en lugares público o cerrados, generan acciones correctivas o de mejora con responsables y fechas definidas?</t>
  </si>
  <si>
    <t>1. ¿La empresa ha identificado y documentado en la matriz legal las obligaciones derivadas de Ley 1566/12 Sustancias Psicoactivas art. 7 y su relación con el SG-SST?
2. ¿Las políticas, procedimientos y programas del SG-SST incorporan de forma explícita los lineamientos establecidos en Ley 1566/12 Sustancias Psicoactivas art. 7?
3. ¿Existe evidencia documental (actas, comunicaciones, registros, contratos, entre otros) que demuestre la aplicación de Ley 1566/12 Sustancias Psicoactivas art. 7 en la organización?
4. ¿Se ha socializado con trabajadores, líderes y responsables del SG-SST el contenido y alcance de Ley 1566/12 Sustancias Psicoactivas art. 7 y sus implicaciones en seguridad y salud en el trabajo?
5. ¿Se realiza seguimiento periódico al cumplimiento de Ley 1566/12 Sustancias Psicoactivas art. 7, dejando soportes de las revisiones y acciones de mejora cuando se identifican brechas?
6. ¿Los cambios o reformas a Ley 1566/12 Sustancias Psicoactivas art. 7 se registran oportunamente en la matriz legal y se comunican a los procesos impactados?</t>
  </si>
  <si>
    <t>1. ¿La empresa ha identificado los requisitos específicos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que aplican a su actividad económica y tamaño?
2. ¿Se dispone de procedimientos, instructivos o formatos que permitan cumplir con las exigencias técnicas y administrativas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3. ¿Existen registros (informes, actas, listados, certificados, reportes en plataformas) que evidencien el cumplimiento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4. ¿Los responsables del SG-SST realizan seguimiento periódico a los ítems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incluidos en la matriz legal y documentan los resultados?
5. ¿Se han comunicado los requisitos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a los trabajadores, contratistas y proveedores que se ven impactados por esta norma?
6. ¿Las no conformidades asociadas al cumplimiento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generan acciones correctivas o de mejora con responsables y fechas definidas?</t>
  </si>
  <si>
    <t>Biológico</t>
  </si>
  <si>
    <t>1. ¿El SG-SST incorpora los requisitos establecidos en Decreto 1477 del 2014 tabla de Enfermedades Laborales dentro de sus procedimientos, estándares y controles operativos?
2. ¿Se cuenta con documentación actualizada (procedimientos, instructivos, protocolos) que evidencie la implementación de lo definido en Decreto 1477 del 2014 tabla de Enfermedades Laborales?
3. ¿Se verifica de manera periódica el cumplimiento de Decreto 1477 del 2014 tabla de Enfermedades Laborales en auditorías internas, inspecciones o revisiones de la matriz legal?
4. ¿Los responsables de cada proceso conocen las obligaciones derivadas de Decreto 1477 del 2014 tabla de Enfermedades Laborales que les aplican y cuentan con los recursos para cumplirlas?
5. ¿Se conservan registros (informes, actas, listas de verificación, reportes) que demuestren la aplicación práctica de Decreto 1477 del 2014 tabla de Enfermedades Laborales en la empresa?
6. ¿Las actualizaciones o derogatorias relacionadas con Decreto 1477 del 2014 tabla de Enfermedades Laborales se reflejan oportunamente en la matriz legal y en los documentos del SG-SST?</t>
  </si>
  <si>
    <t>1. ¿La empresa conoce y ha analizado los lineamientos impartidos en Circular conjunta externa 06 13/02/2020 Directrices para el fortalecimiento de las medidas de prevención y atención integral de la Hepatitis A y de las acciones de vigilancia y control para este evento. frente a su actividad y condiciones de trabajo?
2. ¿Se han incorporado en los procedimientos internos las orientaciones y criterios definidos en Circular conjunta externa 06 13/02/2020 Directrices para el fortalecimiento de las medidas de prevención y atención integral de la Hepatitis A y de las acciones de vigilancia y control para este evento.?
3. ¿Existe evidencia de comunicación interna (correos, circulares, actas) sobre el contenido de Circular conjunta externa 06 13/02/2020 Directrices para el fortalecimiento de las medidas de prevención y atención integral de la Hepatitis A y de las acciones de vigilancia y control para este evento. a las áreas responsables?
4. ¿Se verifica en auditorías o revisiones internas el cumplimiento de las instrucciones dadas en Circular conjunta externa 06 13/02/2020 Directrices para el fortalecimiento de las medidas de prevención y atención integral de la Hepatitis A y de las acciones de vigilancia y control para este evento.?
5. ¿Los cambios o nuevas circulares que complementan o sustituyen a Circular conjunta externa 06 13/02/2020 Directrices para el fortalecimiento de las medidas de prevención y atención integral de la Hepatitis A y de las acciones de vigilancia y control para este evento. se actualizan oportunamente en la matriz legal?
6. ¿Se conservan registros de las decisiones tomadas a partir de Circular conjunta externa 06 13/02/2020 Directrices para el fortalecimiento de las medidas de prevención y atención integral de la Hepatitis A y de las acciones de vigilancia y control para este evento. en relación con el SG-SST?</t>
  </si>
  <si>
    <t>1. ¿La empresa ha identificado los requisitos específicos de Resolución 2121 del 18-12-2023 Minsalud deroga la Resolución 555 del 5-04 de 2023. que aplican a su actividad económica y tamaño?
2. ¿Se dispone de procedimientos, instructivos o formatos que permitan cumplir con las exigencias técnicas y administrativas de Resolución 2121 del 18-12-2023 Minsalud deroga la Resolución 555 del 5-04 de 2023.?
3. ¿Existen registros (informes, actas, listados, certificados, reportes en plataformas) que evidencien el cumplimiento de Resolución 2121 del 18-12-2023 Minsalud deroga la Resolución 555 del 5-04 de 2023.?
4. ¿Los responsables del SG-SST realizan seguimiento periódico a los ítems de Resolución 2121 del 18-12-2023 Minsalud deroga la Resolución 555 del 5-04 de 2023. incluidos en la matriz legal y documentan los resultados?
5. ¿Se han comunicado los requisitos de Resolución 2121 del 18-12-2023 Minsalud deroga la Resolución 555 del 5-04 de 2023. a los trabajadores, contratistas y proveedores que se ven impactados por esta norma?
6. ¿Las no conformidades asociadas al cumplimiento de Resolución 2121 del 18-12-2023 Minsalud deroga la Resolución 555 del 5-04 de 2023. generan acciones correctivas o de mejora con responsables y fechas definidas?</t>
  </si>
  <si>
    <t>1. ¿La empresa ha registrado en la matriz legal las obligaciones derivadas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y ha definido su aplicabilidad?
2. ¿Los procedimientos y controles del SG-SST contemplan lo establecido en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para las actividades y procesos de la organización?
3. ¿Existe evidencia documental (registros, informes, actas, comunicaciones) que demuestre la aplicación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4. ¿Se ha socializado el contenido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con los responsables de cada proceso y con los trabajadores cuando es pertinente?
5. ¿Se revisa periódicamente el cumplimiento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y se generan planes de acción cuando se identifican desviaciones?
6. ¿La matriz legal se mantiene actualizada frente a modificaciones, derogatorias o nuevas disposiciones relacionadas con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t>
  </si>
  <si>
    <t>Locativo: Orden y Limpieza</t>
  </si>
  <si>
    <t>1. ¿La empresa ha identificado los requisitos específicos de Resolución 668 de 2016 sobre uso racional de bolsas plásticas y se adoptan otras disposiciones. que aplican a su actividad económica y tamaño?
2. ¿Se dispone de procedimientos, instructivos o formatos que permitan cumplir con las exigencias técnicas y administrativas de Resolución 668 de 2016 sobre uso racional de bolsas plásticas y se adoptan otras disposiciones.?
3. ¿Existen registros (informes, actas, listados, certificados, reportes en plataformas) que evidencien el cumplimiento de Resolución 668 de 2016 sobre uso racional de bolsas plásticas y se adoptan otras disposiciones.?
4. ¿Los responsables del SG-SST realizan seguimiento periódico a los ítems de Resolución 668 de 2016 sobre uso racional de bolsas plásticas y se adoptan otras disposiciones. incluidos en la matriz legal y documentan los resultados?
5. ¿Se han comunicado los requisitos de Resolución 668 de 2016 sobre uso racional de bolsas plásticas y se adoptan otras disposiciones. a los trabajadores, contratistas y proveedores que se ven impactados por esta norma?
6. ¿Las no conformidades asociadas al cumplimiento de Resolución 668 de 2016 sobre uso racional de bolsas plásticas y se adoptan otras disposiciones. generan acciones correctivas o de mejora con responsables y fechas definidas?</t>
  </si>
  <si>
    <t>1. ¿La empresa ha identificado los requisitos específicos de Resolución 2184 26-12-2019 Por la cual se modifica la Resolución 668 de 2016 sobre uso racional de bolsas plásticas y se adoptan otras disposiciones. que aplican a su actividad económica y tamaño?
2. ¿Se dispone de procedimientos, instructivos o formatos que permitan cumplir con las exigencias técnicas y administrativas de Resolución 2184 26-12-2019 Por la cual se modifica la Resolución 668 de 2016 sobre uso racional de bolsas plásticas y se adoptan otras disposiciones.?
3. ¿Existen registros (informes, actas, listados, certificados, reportes en plataformas) que evidencien el cumplimiento de Resolución 2184 26-12-2019 Por la cual se modifica la Resolución 668 de 2016 sobre uso racional de bolsas plásticas y se adoptan otras disposiciones.?
4. ¿Los responsables del SG-SST realizan seguimiento periódico a los ítems de Resolución 2184 26-12-2019 Por la cual se modifica la Resolución 668 de 2016 sobre uso racional de bolsas plásticas y se adoptan otras disposiciones. incluidos en la matriz legal y documentan los resultados?
5. ¿Se han comunicado los requisitos de Resolución 2184 26-12-2019 Por la cual se modifica la Resolución 668 de 2016 sobre uso racional de bolsas plásticas y se adoptan otras disposiciones. a los trabajadores, contratistas y proveedores que se ven impactados por esta norma?
6. ¿Las no conformidades asociadas al cumplimiento de Resolución 2184 26-12-2019 Por la cual se modifica la Resolución 668 de 2016 sobre uso racional de bolsas plásticas y se adoptan otras disposiciones. generan acciones correctivas o de mejora con responsables y fechas definidas?</t>
  </si>
  <si>
    <t>1. ¿La empresa ha identificado los requisitos específicos de Resolución 1344 24-12-2020 amplió plazo para sector salud y otras actividades solo adicionó parágrafo a la 2184) que aplican a su actividad económica y tamaño?
2. ¿Se dispone de procedimientos, instructivos o formatos que permitan cumplir con las exigencias técnicas y administrativas de Resolución 1344 24-12-2020 amplió plazo para sector salud y otras actividades solo adicionó parágrafo a la 2184)?
3. ¿Existen registros (informes, actas, listados, certificados, reportes en plataformas) que evidencien el cumplimiento de Resolución 1344 24-12-2020 amplió plazo para sector salud y otras actividades solo adicionó parágrafo a la 2184)?
4. ¿Los responsables del SG-SST realizan seguimiento periódico a los ítems de Resolución 1344 24-12-2020 amplió plazo para sector salud y otras actividades solo adicionó parágrafo a la 2184) incluidos en la matriz legal y documentan los resultados?
5. ¿Se han comunicado los requisitos de Resolución 1344 24-12-2020 amplió plazo para sector salud y otras actividades solo adicionó parágrafo a la 2184) a los trabajadores, contratistas y proveedores que se ven impactados por esta norma?
6. ¿Las no conformidades asociadas al cumplimiento de Resolución 1344 24-12-2020 amplió plazo para sector salud y otras actividades solo adicionó parágrafo a la 2184) generan acciones correctivas o de mejora con responsables y fechas definidas?</t>
  </si>
  <si>
    <t>1. ¿La empresa ha identificado y documentado en la matriz legal las obligaciones derivadas de Ley 2232 del 7-07 2022 por la cual se establecen medidas tendientes a la reducción gradual de la producción y consumo de ciertos productos plásticos de un solo uso y se dictan otras disposiciones y su relación con el SG-SST?
2. ¿Las políticas, procedimientos y programas del SG-SST incorporan de forma explícita los lineamientos establecidos en Ley 2232 del 7-07 2022 por la cual se establecen medidas tendientes a la reducción gradual de la producción y consumo de ciertos productos plásticos de un solo uso y se dictan otras disposiciones?
3. ¿Existe evidencia documental (actas, comunicaciones, registros, contratos, entre otros) que demuestre la aplicación de Ley 2232 del 7-07 2022 por la cual se establecen medidas tendientes a la reducción gradual de la producción y consumo de ciertos productos plásticos de un solo uso y se dictan otras disposiciones en la organización?
4. ¿Se ha socializado con trabajadores, líderes y responsables del SG-SST el contenido y alcance de Ley 2232 del 7-07 2022 por la cual se establecen medidas tendientes a la reducción gradual de la producción y consumo de ciertos productos plásticos de un solo uso y se dictan otras disposiciones y sus implicaciones en seguridad y salud en el trabajo?
5. ¿Se realiza seguimiento periódico al cumplimiento de Ley 2232 del 7-07 2022 por la cual se establecen medidas tendientes a la reducción gradual de la producción y consumo de ciertos productos plásticos de un solo uso y se dictan otras disposiciones, dejando soportes de las revisiones y acciones de mejora cuando se identifican brechas?
6. ¿Los cambios o reformas a Ley 2232 del 7-07 2022 por la cual se establecen medidas tendientes a la reducción gradual de la producción y consumo de ciertos productos plásticos de un solo uso y se dictan otras disposiciones se registran oportunamente en la matriz legal y se comunican a los procesos impactados?</t>
  </si>
  <si>
    <t>Eléctrico</t>
  </si>
  <si>
    <t>Ejecutar criterios color rojo</t>
  </si>
  <si>
    <t>1. ¿La empresa ha identificado los requisitos específicos de Resolución 40157/17 que aplican a su actividad económica y tamaño?
2. ¿Se dispone de procedimientos, instructivos o formatos que permitan cumplir con las exigencias técnicas y administrativas de Resolución 40157/17?
3. ¿Existen registros (informes, actas, listados, certificados, reportes en plataformas) que evidencien el cumplimiento de Resolución 40157/17?
4. ¿Los responsables del SG-SST realizan seguimiento periódico a los ítems de Resolución 40157/17 incluidos en la matriz legal y documentan los resultados?
5. ¿Se han comunicado los requisitos de Resolución 40157/17 a los trabajadores, contratistas y proveedores que se ven impactados por esta norma?
6. ¿Las no conformidades asociadas al cumplimiento de Resolución 40157/17 generan acciones correctivas o de mejora con responsables y fechas definidas?</t>
  </si>
  <si>
    <t>1. ¿La empresa ha identificado los requisitos específicos de Resolución 40908 de 2018 que aplican a su actividad económica y tamaño?
2. ¿Se dispone de procedimientos, instructivos o formatos que permitan cumplir con las exigencias técnicas y administrativas de Resolución 40908 de 2018?
3. ¿Existen registros (informes, actas, listados, certificados, reportes en plataformas) que evidencien el cumplimiento de Resolución 40908 de 2018?
4. ¿Los responsables del SG-SST realizan seguimiento periódico a los ítems de Resolución 40908 de 2018 incluidos en la matriz legal y documentan los resultados?
5. ¿Se han comunicado los requisitos de Resolución 40908 de 2018 a los trabajadores, contratistas y proveedores que se ven impactados por esta norma?
6. ¿Las no conformidades asociadas al cumplimiento de Resolución 40908 de 2018 generan acciones correctivas o de mejora con responsables y fechas definidas?</t>
  </si>
  <si>
    <t>1. ¿La empresa ha identificado los requisitos específicos de Resolución 41291 de 2018 que aplican a su actividad económica y tamaño?
2. ¿Se dispone de procedimientos, instructivos o formatos que permitan cumplir con las exigencias técnicas y administrativas de Resolución 41291 de 2018?
3. ¿Existen registros (informes, actas, listados, certificados, reportes en plataformas) que evidencien el cumplimiento de Resolución 41291 de 2018?
4. ¿Los responsables del SG-SST realizan seguimiento periódico a los ítems de Resolución 41291 de 2018 incluidos en la matriz legal y documentan los resultados?
5. ¿Se han comunicado los requisitos de Resolución 41291 de 2018 a los trabajadores, contratistas y proveedores que se ven impactados por esta norma?
6. ¿Las no conformidades asociadas al cumplimiento de Resolución 41291 de 2018 generan acciones correctivas o de mejora con responsables y fechas definidas?</t>
  </si>
  <si>
    <t>1. ¿La empresa ha identificado los requisitos específicos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que aplican a su actividad económica y tamaño?
2. ¿Se dispone de procedimientos, instructivos o formatos que permitan cumplir con las exigencias técnicas y administrativas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3. ¿Existen registros (informes, actas, listados, certificados, reportes en plataformas) que evidencien el cumplimiento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4. ¿Los responsables del SG-SST realizan seguimiento periódico a los ítems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incluidos en la matriz legal y documentan los resultados?
5. ¿Se han comunicado los requisitos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a los trabajadores, contratistas y proveedores que se ven impactados por esta norma?
6. ¿Las no conformidades asociadas al cumplimiento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generan acciones correctivas o de mejora con responsables y fechas definidas?</t>
  </si>
  <si>
    <t>1. ¿La empresa ha identificado los requisitos específicos de Resolución 40117 -02-04-24-Minminas modificó el Reglamento Técnico-RETIE. Título 4 SG-SST Derogó la Resolución 90708 del 2013 que aplican a su actividad económica y tamaño?
2. ¿Se dispone de procedimientos, instructivos o formatos que permitan cumplir con las exigencias técnicas y administrativas de Resolución 40117 -02-04-24-Minminas modificó el Reglamento Técnico-RETIE. Título 4 SG-SST Derogó la Resolución 90708 del 2013?
3. ¿Existen registros (informes, actas, listados, certificados, reportes en plataformas) que evidencien el cumplimiento de Resolución 40117 -02-04-24-Minminas modificó el Reglamento Técnico-RETIE. Título 4 SG-SST Derogó la Resolución 90708 del 2013?
4. ¿Los responsables del SG-SST realizan seguimiento periódico a los ítems de Resolución 40117 -02-04-24-Minminas modificó el Reglamento Técnico-RETIE. Título 4 SG-SST Derogó la Resolución 90708 del 2013 incluidos en la matriz legal y documentan los resultados?
5. ¿Se han comunicado los requisitos de Resolución 40117 -02-04-24-Minminas modificó el Reglamento Técnico-RETIE. Título 4 SG-SST Derogó la Resolución 90708 del 2013 a los trabajadores, contratistas y proveedores que se ven impactados por esta norma?
6. ¿Las no conformidades asociadas al cumplimiento de Resolución 40117 -02-04-24-Minminas modificó el Reglamento Técnico-RETIE. Título 4 SG-SST Derogó la Resolución 90708 del 2013 generan acciones correctivas o de mejora con responsables y fechas definidas?</t>
  </si>
  <si>
    <t xml:space="preserve"> Señalización</t>
  </si>
  <si>
    <t>1. ¿La empresa ha identificado los requisitos específicos de Resolución Ley 769/02 art. 5, 101, 113 y 115 que aplican a su actividad económica y tamaño?
2. ¿Se dispone de procedimientos, instructivos o formatos que permitan cumplir con las exigencias técnicas y administrativas de Resolución Ley 769/02 art. 5, 101, 113 y 115?
3. ¿Existen registros (informes, actas, listados, certificados, reportes en plataformas) que evidencien el cumplimiento de Resolución Ley 769/02 art. 5, 101, 113 y 115?
4. ¿Los responsables del SG-SST realizan seguimiento periódico a los ítems de Resolución Ley 769/02 art. 5, 101, 113 y 115 incluidos en la matriz legal y documentan los resultados?
5. ¿Se han comunicado los requisitos de Resolución Ley 769/02 art. 5, 101, 113 y 115 a los trabajadores, contratistas y proveedores que se ven impactados por esta norma?
6. ¿Las no conformidades asociadas al cumplimiento de Resolución Ley 769/02 art. 5, 101, 113 y 115 generan acciones correctivas o de mejora con responsables y fechas definidas?</t>
  </si>
  <si>
    <t>1. ¿La empresa ha identificado los requisitos específicos de Resolución 0491 del 24-02-2020 Requisitos mínimos de seguridad para el desarrollo de trabajo en espacios confinados, art 9, 10, 12 responsabilidades de los empleadores o contratantes. que aplican a su actividad económica y tamaño?
2. ¿Se dispone de procedimientos, instructivos o formatos que permitan cumplir con las exigencias técnicas y administrativas de Resolución 0491 del 24-02-2020 Requisitos mínimos de seguridad para el desarrollo de trabajo en espacios confinados, art 9, 10, 12 responsabilidades de los empleadores o contratantes.?
3. ¿Existen registros (informes, actas, listados, certificados, reportes en plataformas) que evidencien el cumplimiento de Resolución 0491 del 24-02-2020 Requisitos mínimos de seguridad para el desarrollo de trabajo en espacios confinados, art 9, 10, 12 responsabilidades de los empleadores o contratantes.?
4. ¿Los responsables del SG-SST realizan seguimiento periódico a los ítems de Resolución 0491 del 24-02-2020 Requisitos mínimos de seguridad para el desarrollo de trabajo en espacios confinados, art 9, 10, 12 responsabilidades de los empleadores o contratantes. incluidos en la matriz legal y documentan los resultados?
5. ¿Se han comunicado los requisitos de Resolución 0491 del 24-02-2020 Requisitos mínimos de seguridad para el desarrollo de trabajo en espacios confinados, art 9, 10, 12 responsabilidades de los empleadores o contratantes. a los trabajadores, contratistas y proveedores que se ven impactados por esta norma?
6. ¿Las no conformidades asociadas al cumplimiento de Resolución 0491 del 24-02-2020 Requisitos mínimos de seguridad para el desarrollo de trabajo en espacios confinados, art 9, 10, 12 responsabilidades de los empleadores o contratantes. generan acciones correctivas o de mejora con responsables y fechas definidas?</t>
  </si>
  <si>
    <t>Izaje de Cargas</t>
  </si>
  <si>
    <t>1. ¿La empresa ha identificado los requisitos específicos de Resolución 2400 del 22-05 de 1979 398 al 497 del manejo y transporte mecánico de materiales, Grúas, Malacates, transportadores de banda, diferenciales que aplican a su actividad económica y tamaño?
2. ¿Se dispone de procedimientos, instructivos o formatos que permitan cumplir con las exigencias técnicas y administrativas de Resolución 2400 del 22-05 de 1979 398 al 497 del manejo y transporte mecánico de materiales, Grúas, Malacates, transportadores de banda, diferenciales?
3. ¿Existen registros (informes, actas, listados, certificados, reportes en plataformas) que evidencien el cumplimiento de Resolución 2400 del 22-05 de 1979 398 al 497 del manejo y transporte mecánico de materiales, Grúas, Malacates, transportadores de banda, diferenciales?
4. ¿Los responsables del SG-SST realizan seguimiento periódico a los ítems de Resolución 2400 del 22-05 de 1979 398 al 497 del manejo y transporte mecánico de materiales, Grúas, Malacates, transportadores de banda, diferenciales incluidos en la matriz legal y documentan los resultados?
5. ¿Se han comunicado los requisitos de Resolución 2400 del 22-05 de 1979 398 al 497 del manejo y transporte mecánico de materiales, Grúas, Malacates, transportadores de banda, diferenciales a los trabajadores, contratistas y proveedores que se ven impactados por esta norma?
6. ¿Las no conformidades asociadas al cumplimiento de Resolución 2400 del 22-05 de 1979 398 al 497 del manejo y transporte mecánico de materiales, Grúas, Malacates, transportadores de banda, diferenciales generan acciones correctivas o de mejora con responsables y fechas definidas?</t>
  </si>
  <si>
    <t>1. ¿La empresa ha identificado los requisitos específicos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que aplican a su actividad económica y tamaño?
2. ¿Se dispone de procedimientos, instructivos o formatos que permitan cumplir con las exigencias técnicas y administrativas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3. ¿Existen registros (informes, actas, listados, certificados, reportes en plataformas) que evidencien el cumplimiento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4. ¿Los responsables del SG-SST realizan seguimiento periódico a los ítems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incluidos en la matriz legal y documentan los resultados?
5. ¿Se han comunicado los requisitos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a los trabajadores, contratistas y proveedores que se ven impactados por esta norma?
6. ¿Las no conformidades asociadas al cumplimiento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 generan acciones correctivas o de mejora con responsables y fechas definidas?</t>
  </si>
  <si>
    <t>1. ¿La empresa ha identificado los requisitos específicos de Resolución 736/09 que aplican a su actividad económica y tamaño?
2. ¿Se dispone de procedimientos, instructivos o formatos que permitan cumplir con las exigencias técnicas y administrativas de Resolución 736/09?
3. ¿Existen registros (informes, actas, listados, certificados, reportes en plataformas) que evidencien el cumplimiento de Resolución 736/09?
4. ¿Los responsables del SG-SST realizan seguimiento periódico a los ítems de Resolución 736/09 incluidos en la matriz legal y documentan los resultados?
5. ¿Se han comunicado los requisitos de Resolución 736/09 a los trabajadores, contratistas y proveedores que se ven impactados por esta norma?
6. ¿Las no conformidades asociadas al cumplimiento de Resolución 736/09 generan acciones correctivas o de mejora con responsables y fechas definidas?</t>
  </si>
  <si>
    <t>1. ¿La empresa conoce y ha analizado los lineamientos impartidos en Circular 042 de 2014 certificado de competencias laborales para entrenadores o instructores. frente a su actividad y condiciones de trabajo?
2. ¿Se han incorporado en los procedimientos internos las orientaciones y criterios definidos en Circular 042 de 2014 certificado de competencias laborales para entrenadores o instructores.?
3. ¿Existe evidencia de comunicación interna (correos, circulares, actas) sobre el contenido de Circular 042 de 2014 certificado de competencias laborales para entrenadores o instructores. a las áreas responsables?
4. ¿Se verifica en auditorías o revisiones internas el cumplimiento de las instrucciones dadas en Circular 042 de 2014 certificado de competencias laborales para entrenadores o instructores.?
5. ¿Los cambios o nuevas circulares que complementan o sustituyen a Circular 042 de 2014 certificado de competencias laborales para entrenadores o instructores. se actualizan oportunamente en la matriz legal?
6. ¿Se conservan registros de las decisiones tomadas a partir de Circular 042 de 2014 certificado de competencias laborales para entrenadores o instructores. en relación con el SG-SST?</t>
  </si>
  <si>
    <t>1. ¿La empresa conoce y ha analizado los lineamientos impartidos en Circular 36 del 28-07-2022 Min trabajo capacitación y reentrenamiento en Alturas frente a su actividad y condiciones de trabajo?
2. ¿Se han incorporado en los procedimientos internos las orientaciones y criterios definidos en Circular 36 del 28-07-2022 Min trabajo capacitación y reentrenamiento en Alturas?
3. ¿Existe evidencia de comunicación interna (correos, circulares, actas) sobre el contenido de Circular 36 del 28-07-2022 Min trabajo capacitación y reentrenamiento en Alturas a las áreas responsables?
4. ¿Se verifica en auditorías o revisiones internas el cumplimiento de las instrucciones dadas en Circular 36 del 28-07-2022 Min trabajo capacitación y reentrenamiento en Alturas?
5. ¿Los cambios o nuevas circulares que complementan o sustituyen a Circular 36 del 28-07-2022 Min trabajo capacitación y reentrenamiento en Alturas se actualizan oportunamente en la matriz legal?
6. ¿Se conservan registros de las decisiones tomadas a partir de Circular 36 del 28-07-2022 Min trabajo capacitación y reentrenamiento en Alturas en relación con el SG-SST?</t>
  </si>
  <si>
    <t>1. ¿La empresa conoce y ha analizado los lineamientos impartidos en Circular 70/09 frente a su actividad y condiciones de trabajo?
2. ¿Se han incorporado en los procedimientos internos las orientaciones y criterios definidos en Circular 70/09?
3. ¿Existe evidencia de comunicación interna (correos, circulares, actas) sobre el contenido de Circular 70/09 a las áreas responsables?
4. ¿Se verifica en auditorías o revisiones internas el cumplimiento de las instrucciones dadas en Circular 70/09?
5. ¿Los cambios o nuevas circulares que complementan o sustituyen a Circular 70/09 se actualizan oportunamente en la matriz legal?
6. ¿Se conservan registros de las decisiones tomadas a partir de Circular 70/09 en relación con el SG-SST?</t>
  </si>
  <si>
    <t>1. ¿La empresa ha identificado y documentado en la matriz legal las obligaciones derivadas de Ley 1503 del 29-12 de 2011 congreso de la república art 12, diseñar el PESV y su relación con el SG-SST?
2. ¿Las políticas, procedimientos y programas del SG-SST incorporan de forma explícita los lineamientos establecidos en Ley 1503 del 29-12 de 2011 congreso de la república art 12, diseñar el PESV?
3. ¿Existe evidencia documental (actas, comunicaciones, registros, contratos, entre otros) que demuestre la aplicación de Ley 1503 del 29-12 de 2011 congreso de la república art 12, diseñar el PESV en la organización?
4. ¿Se ha socializado con trabajadores, líderes y responsables del SG-SST el contenido y alcance de Ley 1503 del 29-12 de 2011 congreso de la república art 12, diseñar el PESV y sus implicaciones en seguridad y salud en el trabajo?
5. ¿Se realiza seguimiento periódico al cumplimiento de Ley 1503 del 29-12 de 2011 congreso de la república art 12, diseñar el PESV, dejando soportes de las revisiones y acciones de mejora cuando se identifican brechas?
6. ¿Los cambios o reformas a Ley 1503 del 29-12 de 2011 congreso de la república art 12, diseñar el PESV se registran oportunamente en la matriz legal y se comunican a los procesos impactados?</t>
  </si>
  <si>
    <t>1. ¿La empresa ha identificado y documentado en la matriz legal las obligaciones derivadas de Ley 1383/2010 que modificó la ley 769 de 2002 Código nacional de tránsito, art.4,5,11,13,15,19,21 y su relación con el SG-SST?
2. ¿Las políticas, procedimientos y programas del SG-SST incorporan de forma explícita los lineamientos establecidos en Ley 1383/2010 que modificó la ley 769 de 2002 Código nacional de tránsito, art.4,5,11,13,15,19,21?
3. ¿Existe evidencia documental (actas, comunicaciones, registros, contratos, entre otros) que demuestre la aplicación de Ley 1383/2010 que modificó la ley 769 de 2002 Código nacional de tránsito, art.4,5,11,13,15,19,21 en la organización?
4. ¿Se ha socializado con trabajadores, líderes y responsables del SG-SST el contenido y alcance de Ley 1383/2010 que modificó la ley 769 de 2002 Código nacional de tránsito, art.4,5,11,13,15,19,21 y sus implicaciones en seguridad y salud en el trabajo?
5. ¿Se realiza seguimiento periódico al cumplimiento de Ley 1383/2010 que modificó la ley 769 de 2002 Código nacional de tránsito, art.4,5,11,13,15,19,21, dejando soportes de las revisiones y acciones de mejora cuando se identifican brechas?
6. ¿Los cambios o reformas a Ley 1383/2010 que modificó la ley 769 de 2002 Código nacional de tránsito, art.4,5,11,13,15,19,21 se registran oportunamente en la matriz legal y se comunican a los procesos impactados?</t>
  </si>
  <si>
    <t>1. ¿La empresa ha identificado y documentado en la matriz legal las obligaciones derivadas de Ley 1696/13 Disp. Penales y administrativas en la conducción, bajo influencias alcohol y otras sustancias y su relación con el SG-SST?
2. ¿Las políticas, procedimientos y programas del SG-SST incorporan de forma explícita los lineamientos establecidos en Ley 1696/13 Disp. Penales y administrativas en la conducción, bajo influencias alcohol y otras sustancias?
3. ¿Existe evidencia documental (actas, comunicaciones, registros, contratos, entre otros) que demuestre la aplicación de Ley 1696/13 Disp. Penales y administrativas en la conducción, bajo influencias alcohol y otras sustancias en la organización?
4. ¿Se ha socializado con trabajadores, líderes y responsables del SG-SST el contenido y alcance de Ley 1696/13 Disp. Penales y administrativas en la conducción, bajo influencias alcohol y otras sustancias y sus implicaciones en seguridad y salud en el trabajo?
5. ¿Se realiza seguimiento periódico al cumplimiento de Ley 1696/13 Disp. Penales y administrativas en la conducción, bajo influencias alcohol y otras sustancias, dejando soportes de las revisiones y acciones de mejora cuando se identifican brechas?
6. ¿Los cambios o reformas a Ley 1696/13 Disp. Penales y administrativas en la conducción, bajo influencias alcohol y otras sustancias se registran oportunamente en la matriz legal y se comunican a los procesos impactados?</t>
  </si>
  <si>
    <t>1. ¿La empresa ha registrado en la matriz legal las obligaciones derivadas de R. 315/13 seguridad en el transporte y ha definido su aplicabilidad?
2. ¿Los procedimientos y controles del SG-SST contemplan lo establecido en R. 315/13 seguridad en el transporte para las actividades y procesos de la organización?
3. ¿Existe evidencia documental (registros, informes, actas, comunicaciones) que demuestre la aplicación de R. 315/13 seguridad en el transporte?
4. ¿Se ha socializado el contenido de R. 315/13 seguridad en el transporte con los responsables de cada proceso y con los trabajadores cuando es pertinente?
5. ¿Se revisa periódicamente el cumplimiento de R. 315/13 seguridad en el transporte y se generan planes de acción cuando se identifican desviaciones?
6. ¿La matriz legal se mantiene actualizada frente a modificaciones, derogatorias o nuevas disposiciones relacionadas con R. 315/13 seguridad en el transporte?</t>
  </si>
  <si>
    <t>1. ¿La empresa ha registrado en la matriz legal las obligaciones derivadas de DUST 1079/15 y ha definido su aplicabilidad?
2. ¿Los procedimientos y controles del SG-SST contemplan lo establecido en DUST 1079/15 para las actividades y procesos de la organización?
3. ¿Existe evidencia documental (registros, informes, actas, comunicaciones) que demuestre la aplicación de DUST 1079/15?
4. ¿Se ha socializado el contenido de DUST 1079/15 con los responsables de cada proceso y con los trabajadores cuando es pertinente?
5. ¿Se revisa periódicamente el cumplimiento de DUST 1079/15 y se generan planes de acción cuando se identifican desviaciones?
6. ¿La matriz legal se mantiene actualizada frente a modificaciones, derogatorias o nuevas disposiciones relacionadas con DUST 1079/15?</t>
  </si>
  <si>
    <t>1. ¿El SG-SST incorpora los requisitos establecidos en D. 1072/15 art. 2.2.4.6.15, 23 y 24 modificado por art 1 D.1252/2021 dentro de sus procedimientos, estándares y controles operativos?
2. ¿Se cuenta con documentación actualizada (procedimientos, instructivos, protocolos) que evidencie la implementación de lo definido en D. 1072/15 art. 2.2.4.6.15, 23 y 24 modificado por art 1 D.1252/2021?
3. ¿Se verifica de manera periódica el cumplimiento de D. 1072/15 art. 2.2.4.6.15, 23 y 24 modificado por art 1 D.1252/2021 en auditorías internas, inspecciones o revisiones de la matriz legal?
4. ¿Los responsables de cada proceso conocen las obligaciones derivadas de D. 1072/15 art. 2.2.4.6.15, 23 y 24 modificado por art 1 D.1252/2021 que les aplican y cuentan con los recursos para cumplirlas?
5. ¿Se conservan registros (informes, actas, listas de verificación, reportes) que demuestren la aplicación práctica de D. 1072/15 art. 2.2.4.6.15, 23 y 24 modificado por art 1 D.1252/2021 en la empresa?
6. ¿Las actualizaciones o derogatorias relacionadas con D. 1072/15 art. 2.2.4.6.15, 23 y 24 modificado por art 1 D.1252/2021 se reflejan oportunamente en la matriz legal y en los documentos del SG-SST?</t>
  </si>
  <si>
    <t>1. ¿La empresa ha registrado en la matriz legal las obligaciones derivadas de R. 1379 de 2017​ Planes de MES área metropolitana y ha definido su aplicabilidad?
2. ¿Los procedimientos y controles del SG-SST contemplan lo establecido en R. 1379 de 2017​ Planes de MES área metropolitana para las actividades y procesos de la organización?
3. ¿Existe evidencia documental (registros, informes, actas, comunicaciones) que demuestre la aplicación de R. 1379 de 2017​ Planes de MES área metropolitana?
4. ¿Se ha socializado el contenido de R. 1379 de 2017​ Planes de MES área metropolitana con los responsables de cada proceso y con los trabajadores cuando es pertinente?
5. ¿Se revisa periódicamente el cumplimiento de R. 1379 de 2017​ Planes de MES área metropolitana y se generan planes de acción cuando se identifican desviaciones?
6. ¿La matriz legal se mantiene actualizada frente a modificaciones, derogatorias o nuevas disposiciones relacionadas con R. 1379 de 2017​ Planes de MES área metropolitana?</t>
  </si>
  <si>
    <t>1. ¿La empresa ha identificado los requisitos específicos de Resolución 1572 mayo 3 2019 " reglamenta a instalación y uso de cintas retrorreflectivas y se dictan otras disposiciones" que aplican a su actividad económica y tamaño?
2. ¿Se dispone de procedimientos, instructivos o formatos que permitan cumplir con las exigencias técnicas y administrativas de Resolución 1572 mayo 3 2019 " reglamenta a instalación y uso de cintas retrorreflectivas y se dictan otras disposiciones"?
3. ¿Existen registros (informes, actas, listados, certificados, reportes en plataformas) que evidencien el cumplimiento de Resolución 1572 mayo 3 2019 " reglamenta a instalación y uso de cintas retrorreflectivas y se dictan otras disposiciones"?
4. ¿Los responsables del SG-SST realizan seguimiento periódico a los ítems de Resolución 1572 mayo 3 2019 " reglamenta a instalación y uso de cintas retrorreflectivas y se dictan otras disposiciones" incluidos en la matriz legal y documentan los resultados?
5. ¿Se han comunicado los requisitos de Resolución 1572 mayo 3 2019 " reglamenta a instalación y uso de cintas retrorreflectivas y se dictan otras disposiciones" a los trabajadores, contratistas y proveedores que se ven impactados por esta norma?
6. ¿Las no conformidades asociadas al cumplimiento de Resolución 1572 mayo 3 2019 " reglamenta a instalación y uso de cintas retrorreflectivas y se dictan otras disposiciones" generan acciones correctivas o de mejora con responsables y fechas definidas?</t>
  </si>
  <si>
    <t>1. ¿El SG-SST incorpora los requisitos establecidos en Decreto 2106 22/11/2019 suprime, reforma trámites y procedimientos: art. 110 modifica el art 12 de la ley 1503/11 el PESV NO requiere aval para su implementación dentro de sus procedimientos, estándares y controles operativos?
2. ¿Se cuenta con documentación actualizada (procedimientos, instructivos, protocolos) que evidencie la implementación de lo definido en Decreto 2106 22/11/2019 suprime, reforma trámites y procedimientos: art. 110 modifica el art 12 de la ley 1503/11 el PESV NO requiere aval para su implementación?
3. ¿Se verifica de manera periódica el cumplimiento de Decreto 2106 22/11/2019 suprime, reforma trámites y procedimientos: art. 110 modifica el art 12 de la ley 1503/11 el PESV NO requiere aval para su implementación en auditorías internas, inspecciones o revisiones de la matriz legal?
4. ¿Los responsables de cada proceso conocen las obligaciones derivadas de Decreto 2106 22/11/2019 suprime, reforma trámites y procedimientos: art. 110 modifica el art 12 de la ley 1503/11 el PESV NO requiere aval para su implementación que les aplican y cuentan con los recursos para cumplirlas?
5. ¿Se conservan registros (informes, actas, listas de verificación, reportes) que demuestren la aplicación práctica de Decreto 2106 22/11/2019 suprime, reforma trámites y procedimientos: art. 110 modifica el art 12 de la ley 1503/11 el PESV NO requiere aval para su implementación en la empresa?
6. ¿Las actualizaciones o derogatorias relacionadas con Decreto 2106 22/11/2019 suprime, reforma trámites y procedimientos: art. 110 modifica el art 12 de la ley 1503/11 el PESV NO requiere aval para su implementación se reflejan oportunamente en la matriz legal y en los documentos del SG-SST?</t>
  </si>
  <si>
    <t>1. ¿La empresa ha identificado y documentado en la matriz legal las obligaciones derivadas de Ley 2050 de 12-08-2020 Por medio de la cual se modifica y adiciona la ley 1503 de 2011 y se dictan otras disposiciones en seguridad vial y tránsito (Incentivos PESV ART 5) y su relación con el SG-SST?
2. ¿Las políticas, procedimientos y programas del SG-SST incorporan de forma explícita los lineamientos establecidos en Ley 2050 de 12-08-2020 Por medio de la cual se modifica y adiciona la ley 1503 de 2011 y se dictan otras disposiciones en seguridad vial y tránsito (Incentivos PESV ART 5)?
3. ¿Existe evidencia documental (actas, comunicaciones, registros, contratos, entre otros) que demuestre la aplicación de Ley 2050 de 12-08-2020 Por medio de la cual se modifica y adiciona la ley 1503 de 2011 y se dictan otras disposiciones en seguridad vial y tránsito (Incentivos PESV ART 5) en la organización?
4. ¿Se ha socializado con trabajadores, líderes y responsables del SG-SST el contenido y alcance de Ley 2050 de 12-08-2020 Por medio de la cual se modifica y adiciona la ley 1503 de 2011 y se dictan otras disposiciones en seguridad vial y tránsito (Incentivos PESV ART 5) y sus implicaciones en seguridad y salud en el trabajo?
5. ¿Se realiza seguimiento periódico al cumplimiento de Ley 2050 de 12-08-2020 Por medio de la cual se modifica y adiciona la ley 1503 de 2011 y se dictan otras disposiciones en seguridad vial y tránsito (Incentivos PESV ART 5), dejando soportes de las revisiones y acciones de mejora cuando se identifican brechas?
6. ¿Los cambios o reformas a Ley 2050 de 12-08-2020 Por medio de la cual se modifica y adiciona la ley 1503 de 2011 y se dictan otras disposiciones en seguridad vial y tránsito (Incentivos PESV ART 5) se registran oportunamente en la matriz legal y se comunican a los procesos impactados?</t>
  </si>
  <si>
    <t>1. ¿La empresa ha identificado los requisitos específicos de Resolución No. 3385 de 2020 establece y obliga a los conductores y acompañantes de motocicletas, a cumplir con las condiciones mínimas en el uso de cascos protectores. que aplican a su actividad económica y tamaño?
2. ¿Se dispone de procedimientos, instructivos o formatos que permitan cumplir con las exigencias técnicas y administrativas de Resolución No. 3385 de 2020 establece y obliga a los conductores y acompañantes de motocicletas, a cumplir con las condiciones mínimas en el uso de cascos protectores.?
3. ¿Existen registros (informes, actas, listados, certificados, reportes en plataformas) que evidencien el cumplimiento de Resolución No. 3385 de 2020 establece y obliga a los conductores y acompañantes de motocicletas, a cumplir con las condiciones mínimas en el uso de cascos protectores.?
4. ¿Los responsables del SG-SST realizan seguimiento periódico a los ítems de Resolución No. 3385 de 2020 establece y obliga a los conductores y acompañantes de motocicletas, a cumplir con las condiciones mínimas en el uso de cascos protectores. incluidos en la matriz legal y documentan los resultados?
5. ¿Se han comunicado los requisitos de Resolución No. 3385 de 2020 establece y obliga a los conductores y acompañantes de motocicletas, a cumplir con las condiciones mínimas en el uso de cascos protectores. a los trabajadores, contratistas y proveedores que se ven impactados por esta norma?
6. ¿Las no conformidades asociadas al cumplimiento de Resolución No. 3385 de 2020 establece y obliga a los conductores y acompañantes de motocicletas, a cumplir con las condiciones mínimas en el uso de cascos protectores. generan acciones correctivas o de mejora con responsables y fechas definidas?</t>
  </si>
  <si>
    <t>1. ¿El SG-SST incorpora los requisitos establecidos en Decreto 478 de 12-05-2021 Mintransporte modifica el plazo para certificar el SG-SST del sector transporte dentro de sus procedimientos, estándares y controles operativos?
2. ¿Se cuenta con documentación actualizada (procedimientos, instructivos, protocolos) que evidencie la implementación de lo definido en Decreto 478 de 12-05-2021 Mintransporte modifica el plazo para certificar el SG-SST del sector transporte?
3. ¿Se verifica de manera periódica el cumplimiento de Decreto 478 de 12-05-2021 Mintransporte modifica el plazo para certificar el SG-SST del sector transporte en auditorías internas, inspecciones o revisiones de la matriz legal?
4. ¿Los responsables de cada proceso conocen las obligaciones derivadas de Decreto 478 de 12-05-2021 Mintransporte modifica el plazo para certificar el SG-SST del sector transporte que les aplican y cuentan con los recursos para cumplirlas?
5. ¿Se conservan registros (informes, actas, listas de verificación, reportes) que demuestren la aplicación práctica de Decreto 478 de 12-05-2021 Mintransporte modifica el plazo para certificar el SG-SST del sector transporte en la empresa?
6. ¿Las actualizaciones o derogatorias relacionadas con Decreto 478 de 12-05-2021 Mintransporte modifica el plazo para certificar el SG-SST del sector transporte se reflejan oportunamente en la matriz legal y en los documentos del SG-SST?</t>
  </si>
  <si>
    <t>1. ¿La empresa ha identificado y documentado en la matriz legal las obligaciones derivadas de LEY 2251 de 14-07-2022 diseño e implementación de la política de seguridad vial con enfoque de sistema seguro art 6 Licencia de conducción digital, art 12 y 13 velocidades y su relación con el SG-SST?
2. ¿Las políticas, procedimientos y programas del SG-SST incorporan de forma explícita los lineamientos establecidos en LEY 2251 de 14-07-2022 diseño e implementación de la política de seguridad vial con enfoque de sistema seguro art 6 Licencia de conducción digital, art 12 y 13 velocidades?
3. ¿Existe evidencia documental (actas, comunicaciones, registros, contratos, entre otros) que demuestre la aplicación de LEY 2251 de 14-07-2022 diseño e implementación de la política de seguridad vial con enfoque de sistema seguro art 6 Licencia de conducción digital, art 12 y 13 velocidades en la organización?
4. ¿Se ha socializado con trabajadores, líderes y responsables del SG-SST el contenido y alcance de LEY 2251 de 14-07-2022 diseño e implementación de la política de seguridad vial con enfoque de sistema seguro art 6 Licencia de conducción digital, art 12 y 13 velocidades y sus implicaciones en seguridad y salud en el trabajo?
5. ¿Se realiza seguimiento periódico al cumplimiento de LEY 2251 de 14-07-2022 diseño e implementación de la política de seguridad vial con enfoque de sistema seguro art 6 Licencia de conducción digital, art 12 y 13 velocidades, dejando soportes de las revisiones y acciones de mejora cuando se identifican brechas?
6. ¿Los cambios o reformas a LEY 2251 de 14-07-2022 diseño e implementación de la política de seguridad vial con enfoque de sistema seguro art 6 Licencia de conducción digital, art 12 y 13 velocidades se registran oportunamente en la matriz legal y se comunican a los procesos impactados?</t>
  </si>
  <si>
    <t>1. ¿La empresa ha identificado y documentado en la matriz legal las obligaciones derivadas de LEY 2252 del 14-07-2022 Modifica el art 112 de la ley 169 Señalizar zonas de prohibición por autoridad y su relación con el SG-SST?
2. ¿Las políticas, procedimientos y programas del SG-SST incorporan de forma explícita los lineamientos establecidos en LEY 2252 del 14-07-2022 Modifica el art 112 de la ley 169 Señalizar zonas de prohibición por autoridad?
3. ¿Existe evidencia documental (actas, comunicaciones, registros, contratos, entre otros) que demuestre la aplicación de LEY 2252 del 14-07-2022 Modifica el art 112 de la ley 169 Señalizar zonas de prohibición por autoridad en la organización?
4. ¿Se ha socializado con trabajadores, líderes y responsables del SG-SST el contenido y alcance de LEY 2252 del 14-07-2022 Modifica el art 112 de la ley 169 Señalizar zonas de prohibición por autoridad y sus implicaciones en seguridad y salud en el trabajo?
5. ¿Se realiza seguimiento periódico al cumplimiento de LEY 2252 del 14-07-2022 Modifica el art 112 de la ley 169 Señalizar zonas de prohibición por autoridad, dejando soportes de las revisiones y acciones de mejora cuando se identifican brechas?
6. ¿Los cambios o reformas a LEY 2252 del 14-07-2022 Modifica el art 112 de la ley 169 Señalizar zonas de prohibición por autoridad se registran oportunamente en la matriz legal y se comunican a los procesos impactados?</t>
  </si>
  <si>
    <t>1. ¿El SG-SST incorpora los requisitos establecidos en Decreto 1430 del 29-07-2022 Plan Nacional de seg Vial 2022-2031 dentro de sus procedimientos, estándares y controles operativos?
2. ¿Se cuenta con documentación actualizada (procedimientos, instructivos, protocolos) que evidencie la implementación de lo definido en Decreto 1430 del 29-07-2022 Plan Nacional de seg Vial 2022-2031?
3. ¿Se verifica de manera periódica el cumplimiento de Decreto 1430 del 29-07-2022 Plan Nacional de seg Vial 2022-2031 en auditorías internas, inspecciones o revisiones de la matriz legal?
4. ¿Los responsables de cada proceso conocen las obligaciones derivadas de Decreto 1430 del 29-07-2022 Plan Nacional de seg Vial 2022-2031 que les aplican y cuentan con los recursos para cumplirlas?
5. ¿Se conservan registros (informes, actas, listas de verificación, reportes) que demuestren la aplicación práctica de Decreto 1430 del 29-07-2022 Plan Nacional de seg Vial 2022-2031 en la empresa?
6. ¿Las actualizaciones o derogatorias relacionadas con Decreto 1430 del 29-07-2022 Plan Nacional de seg Vial 2022-2031 se reflejan oportunamente en la matriz legal y en los documentos del SG-SST?</t>
  </si>
  <si>
    <t>1. ¿La empresa ha identificado los requisitos específicos de Resolución 45295 del 4-08-2022 Única Compilatoria Transito (Resolución 5178 del 27-07-2023 deber de reportar indicadores a empresas sector transportes, incluida de la R. única compilatoria que aplican a su actividad económica y tamaño?
2. ¿Se dispone de procedimientos, instructivos o formatos que permitan cumplir con las exigencias técnicas y administrativas de Resolución 45295 del 4-08-2022 Única Compilatoria Transito (Resolución 5178 del 27-07-2023 deber de reportar indicadores a empresas sector transportes, incluida de la R. única compilatoria?
3. ¿Existen registros (informes, actas, listados, certificados, reportes en plataformas) que evidencien el cumplimiento de Resolución 45295 del 4-08-2022 Única Compilatoria Transito (Resolución 5178 del 27-07-2023 deber de reportar indicadores a empresas sector transportes, incluida de la R. única compilatoria?
4. ¿Los responsables del SG-SST realizan seguimiento periódico a los ítems de Resolución 45295 del 4-08-2022 Única Compilatoria Transito (Resolución 5178 del 27-07-2023 deber de reportar indicadores a empresas sector transportes, incluida de la R. única compilatoria incluidos en la matriz legal y documentan los resultados?
5. ¿Se han comunicado los requisitos de Resolución 45295 del 4-08-2022 Única Compilatoria Transito (Resolución 5178 del 27-07-2023 deber de reportar indicadores a empresas sector transportes, incluida de la R. única compilatoria a los trabajadores, contratistas y proveedores que se ven impactados por esta norma?
6. ¿Las no conformidades asociadas al cumplimiento de Resolución 45295 del 4-08-2022 Única Compilatoria Transito (Resolución 5178 del 27-07-2023 deber de reportar indicadores a empresas sector transportes, incluida de la R. única compilatoria generan acciones correctivas o de mejora con responsables y fechas definidas?</t>
  </si>
  <si>
    <t>1. ¿La empresa ha identificado y documentado en la matriz legal las obligaciones derivadas de Ley 2283 del 5-01-2023 Por medio de la cual se modifica la ley 769 de 2002 y la ley 2161 de 2021, se reglamenta la actividad de los organismos de apoyo al tránsito, garantizando el buen funcionamiento de los centros de enseñanza automovilística - CEA y su relación con el SG-SST?
2. ¿Las políticas, procedimientos y programas del SG-SST incorporan de forma explícita los lineamientos establecidos en Ley 2283 del 5-01-2023 Por medio de la cual se modifica la ley 769 de 2002 y la ley 2161 de 2021, se reglamenta la actividad de los organismos de apoyo al tránsito, garantizando el buen funcionamiento de los centros de enseñanza automovilística - CEA?
3. ¿Existe evidencia documental (actas, comunicaciones, registros, contratos, entre otros) que demuestre la aplicación de Ley 2283 del 5-01-2023 Por medio de la cual se modifica la ley 769 de 2002 y la ley 2161 de 2021, se reglamenta la actividad de los organismos de apoyo al tránsito, garantizando el buen funcionamiento de los centros de enseñanza automovilística - CEA en la organización?
4. ¿Se ha socializado con trabajadores, líderes y responsables del SG-SST el contenido y alcance de Ley 2283 del 5-01-2023 Por medio de la cual se modifica la ley 769 de 2002 y la ley 2161 de 2021, se reglamenta la actividad de los organismos de apoyo al tránsito, garantizando el buen funcionamiento de los centros de enseñanza automovilística - CEA y sus implicaciones en seguridad y salud en el trabajo?
5. ¿Se realiza seguimiento periódico al cumplimiento de Ley 2283 del 5-01-2023 Por medio de la cual se modifica la ley 769 de 2002 y la ley 2161 de 2021, se reglamenta la actividad de los organismos de apoyo al tránsito, garantizando el buen funcionamiento de los centros de enseñanza automovilística - CEA, dejando soportes de las revisiones y acciones de mejora cuando se identifican brechas?
6. ¿Los cambios o reformas a Ley 2283 del 5-01-2023 Por medio de la cual se modifica la ley 769 de 2002 y la ley 2161 de 2021, se reglamenta la actividad de los organismos de apoyo al tránsito, garantizando el buen funcionamiento de los centros de enseñanza automovilística - CEA se registran oportunamente en la matriz legal y se comunican a los procesos impactados?</t>
  </si>
  <si>
    <t>1. ¿La empresa ha identificado los requisitos específicos de Resolución 30355 del 31-05-2022 reglamenta la expedición de los certificados de aptitud física, mental y de coordinación motriz para la conducción de vehículos que aplican a su actividad económica y tamaño?
2. ¿Se dispone de procedimientos, instructivos o formatos que permitan cumplir con las exigencias técnicas y administrativas de Resolución 30355 del 31-05-2022 reglamenta la expedición de los certificados de aptitud física, mental y de coordinación motriz para la conducción de vehículos?
3. ¿Existen registros (informes, actas, listados, certificados, reportes en plataformas) que evidencien el cumplimiento de Resolución 30355 del 31-05-2022 reglamenta la expedición de los certificados de aptitud física, mental y de coordinación motriz para la conducción de vehículos?
4. ¿Los responsables del SG-SST realizan seguimiento periódico a los ítems de Resolución 30355 del 31-05-2022 reglamenta la expedición de los certificados de aptitud física, mental y de coordinación motriz para la conducción de vehículos incluidos en la matriz legal y documentan los resultados?
5. ¿Se han comunicado los requisitos de Resolución 30355 del 31-05-2022 reglamenta la expedición de los certificados de aptitud física, mental y de coordinación motriz para la conducción de vehículos a los trabajadores, contratistas y proveedores que se ven impactados por esta norma?
6. ¿Las no conformidades asociadas al cumplimiento de Resolución 30355 del 31-05-2022 reglamenta la expedición de los certificados de aptitud física, mental y de coordinación motriz para la conducción de vehículos generan acciones correctivas o de mejora con responsables y fechas definidas?</t>
  </si>
  <si>
    <t>1. ¿La empresa conoce y ha analizado los lineamientos impartidos en Circular 637 del 19-10-2023 Mintransporte lineamientos sobre la fecha de exigibilidad de la primera revisión técnico mecánica y de emisiones contaminantes de vehículos automotores de servicio particular frente a su actividad y condiciones de trabajo?
2. ¿Se han incorporado en los procedimientos internos las orientaciones y criterios definidos en Circular 637 del 19-10-2023 Mintransporte lineamientos sobre la fecha de exigibilidad de la primera revisión técnico mecánica y de emisiones contaminantes de vehículos automotores de servicio particular?
3. ¿Existe evidencia de comunicación interna (correos, circulares, actas) sobre el contenido de Circular 637 del 19-10-2023 Mintransporte lineamientos sobre la fecha de exigibilidad de la primera revisión técnico mecánica y de emisiones contaminantes de vehículos automotores de servicio particular a las áreas responsables?
4. ¿Se verifica en auditorías o revisiones internas el cumplimiento de las instrucciones dadas en Circular 637 del 19-10-2023 Mintransporte lineamientos sobre la fecha de exigibilidad de la primera revisión técnico mecánica y de emisiones contaminantes de vehículos automotores de servicio particular?
5. ¿Los cambios o nuevas circulares que complementan o sustituyen a Circular 637 del 19-10-2023 Mintransporte lineamientos sobre la fecha de exigibilidad de la primera revisión técnico mecánica y de emisiones contaminantes de vehículos automotores de servicio particular se actualizan oportunamente en la matriz legal?
6. ¿Se conservan registros de las decisiones tomadas a partir de Circular 637 del 19-10-2023 Mintransporte lineamientos sobre la fecha de exigibilidad de la primera revisión técnico mecánica y de emisiones contaminantes de vehículos automotores de servicio particular en relación con el SG-SST?</t>
  </si>
  <si>
    <t>1. ¿La empresa ha identificado los requisitos específicos de Resolución 17145 del 28-04-2023 Mintransporte “Por la cual se modifica la Resolución 20223040045295 de 2022 y se dictan disposiciones para la correcta y amplia implementación de la política de simplificación y racionalización de trámites”. que aplican a su actividad económica y tamaño?
2. ¿Se dispone de procedimientos, instructivos o formatos que permitan cumplir con las exigencias técnicas y administrativas de Resolución 17145 del 28-04-2023 Mintransporte “Por la cual se modifica la Resolución 20223040045295 de 2022 y se dictan disposiciones para la correcta y amplia implementación de la política de simplificación y racionalización de trámites”.?
3. ¿Existen registros (informes, actas, listados, certificados, reportes en plataformas) que evidencien el cumplimiento de Resolución 17145 del 28-04-2023 Mintransporte “Por la cual se modifica la Resolución 20223040045295 de 2022 y se dictan disposiciones para la correcta y amplia implementación de la política de simplificación y racionalización de trámites”.?
4. ¿Los responsables del SG-SST realizan seguimiento periódico a los ítems de Resolución 17145 del 28-04-2023 Mintransporte “Por la cual se modifica la Resolución 20223040045295 de 2022 y se dictan disposiciones para la correcta y amplia implementación de la política de simplificación y racionalización de trámites”. incluidos en la matriz legal y documentan los resultados?
5. ¿Se han comunicado los requisitos de Resolución 17145 del 28-04-2023 Mintransporte “Por la cual se modifica la Resolución 20223040045295 de 2022 y se dictan disposiciones para la correcta y amplia implementación de la política de simplificación y racionalización de trámites”. a los trabajadores, contratistas y proveedores que se ven impactados por esta norma?
6. ¿Las no conformidades asociadas al cumplimiento de Resolución 17145 del 28-04-2023 Mintransporte “Por la cual se modifica la Resolución 20223040045295 de 2022 y se dictan disposiciones para la correcta y amplia implementación de la política de simplificación y racionalización de trámites”. generan acciones correctivas o de mejora con responsables y fechas definidas?</t>
  </si>
  <si>
    <t>Control emergencias</t>
  </si>
  <si>
    <t>4.4</t>
  </si>
  <si>
    <t>1. ¿La empresa ha registrado en la matriz legal las obligaciones derivadas de Decisión 584 de 2004, (art. 16) y ha definido su aplicabilidad?
2. ¿Los procedimientos y controles del SG-SST contemplan lo establecido en Decisión 584 de 2004, (art. 16) para las actividades y procesos de la organización?
3. ¿Existe evidencia documental (registros, informes, actas, comunicaciones) que demuestre la aplicación de Decisión 584 de 2004, (art. 16)?
4. ¿Se ha socializado el contenido de Decisión 584 de 2004, (art. 16) con los responsables de cada proceso y con los trabajadores cuando es pertinente?
5. ¿Se revisa periódicamente el cumplimiento de Decisión 584 de 2004, (art. 16) y se generan planes de acción cuando se identifican desviaciones?
6. ¿La matriz legal se mantiene actualizada frente a modificaciones, derogatorias o nuevas disposiciones relacionadas con Decisión 584 de 2004, (art. 16)?</t>
  </si>
  <si>
    <t>1. ¿La empresa ha identificado y documentado en la matriz legal las obligaciones derivadas de Ley 52 de 1993 (art. 29) y su relación con el SG-SST?
2. ¿Las políticas, procedimientos y programas del SG-SST incorporan de forma explícita los lineamientos establecidos en Ley 52 de 1993 (art. 29)?
3. ¿Existe evidencia documental (actas, comunicaciones, registros, contratos, entre otros) que demuestre la aplicación de Ley 52 de 1993 (art. 29) en la organización?
4. ¿Se ha socializado con trabajadores, líderes y responsables del SG-SST el contenido y alcance de Ley 52 de 1993 (art. 29) y sus implicaciones en seguridad y salud en el trabajo?
5. ¿Se realiza seguimiento periódico al cumplimiento de Ley 52 de 1993 (art. 29), dejando soportes de las revisiones y acciones de mejora cuando se identifican brechas?
6. ¿Los cambios o reformas a Ley 52 de 1993 (art. 29) se registran oportunamente en la matriz legal y se comunican a los procesos impactados?</t>
  </si>
  <si>
    <t>1. ¿La empresa ha identificado y documentado en la matriz legal las obligaciones derivadas de Ley 1523 de 2012. Art 2. Desastres. y su relación con el SG-SST?
2. ¿Las políticas, procedimientos y programas del SG-SST incorporan de forma explícita los lineamientos establecidos en Ley 1523 de 2012. Art 2. Desastres.?
3. ¿Existe evidencia documental (actas, comunicaciones, registros, contratos, entre otros) que demuestre la aplicación de Ley 1523 de 2012. Art 2. Desastres. en la organización?
4. ¿Se ha socializado con trabajadores, líderes y responsables del SG-SST el contenido y alcance de Ley 1523 de 2012. Art 2. Desastres. y sus implicaciones en seguridad y salud en el trabajo?
5. ¿Se realiza seguimiento periódico al cumplimiento de Ley 1523 de 2012. Art 2. Desastres., dejando soportes de las revisiones y acciones de mejora cuando se identifican brechas?
6. ¿Los cambios o reformas a Ley 1523 de 2012. Art 2. Desastres. se registran oportunamente en la matriz legal y se comunican a los procesos impactados?</t>
  </si>
  <si>
    <t>1. ¿El SG-SST incorpora los requisitos establecidos en Decreto 308 de 2016 Por medio del cual se adopta el Plan Nacional de Gestión de Riesgo de Desastres dentro de sus procedimientos, estándares y controles operativos?
2. ¿Se cuenta con documentación actualizada (procedimientos, instructivos, protocolos) que evidencie la implementación de lo definido en Decreto 308 de 2016 Por medio del cual se adopta el Plan Nacional de Gestión de Riesgo de Desastres?
3. ¿Se verifica de manera periódica el cumplimiento de Decreto 308 de 2016 Por medio del cual se adopta el Plan Nacional de Gestión de Riesgo de Desastres en auditorías internas, inspecciones o revisiones de la matriz legal?
4. ¿Los responsables de cada proceso conocen las obligaciones derivadas de Decreto 308 de 2016 Por medio del cual se adopta el Plan Nacional de Gestión de Riesgo de Desastres que les aplican y cuentan con los recursos para cumplirlas?
5. ¿Se conservan registros (informes, actas, listas de verificación, reportes) que demuestren la aplicación práctica de Decreto 308 de 2016 Por medio del cual se adopta el Plan Nacional de Gestión de Riesgo de Desastres en la empresa?
6. ¿Las actualizaciones o derogatorias relacionadas con Decreto 308 de 2016 Por medio del cual se adopta el Plan Nacional de Gestión de Riesgo de Desastres se reflejan oportunamente en la matriz legal y en los documentos del SG-SST?</t>
  </si>
  <si>
    <t>1. ¿La empresa ha registrado en la matriz legal las obligaciones derivadas de R. 0256 2014 brigadas de emergencia deroga la 044 y ha definido su aplicabilidad?
2. ¿Los procedimientos y controles del SG-SST contemplan lo establecido en R. 0256 2014 brigadas de emergencia deroga la 044 para las actividades y procesos de la organización?
3. ¿Existe evidencia documental (registros, informes, actas, comunicaciones) que demuestre la aplicación de R. 0256 2014 brigadas de emergencia deroga la 044?
4. ¿Se ha socializado el contenido de R. 0256 2014 brigadas de emergencia deroga la 044 con los responsables de cada proceso y con los trabajadores cuando es pertinente?
5. ¿Se revisa periódicamente el cumplimiento de R. 0256 2014 brigadas de emergencia deroga la 044 y se generan planes de acción cuando se identifican desviaciones?
6. ¿La matriz legal se mantiene actualizada frente a modificaciones, derogatorias o nuevas disposiciones relacionadas con R. 0256 2014 brigadas de emergencia deroga la 044?</t>
  </si>
  <si>
    <t>1. ¿El SG-SST incorpora los requisitos establecidos en Decreto 2157/17 directrices generales para la elaboración del Plan de Gestión de Riesgo de Desastres en las Entidades Públicas y Privadas (PGRDEPP) dentro de sus procedimientos, estándares y controles operativos?
2. ¿Se cuenta con documentación actualizada (procedimientos, instructivos, protocolos) que evidencie la implementación de lo definido en Decreto 2157/17 directrices generales para la elaboración del Plan de Gestión de Riesgo de Desastres en las Entidades Públicas y Privadas (PGRDEPP)?
3. ¿Se verifica de manera periódica el cumplimiento de Decreto 2157/17 directrices generales para la elaboración del Plan de Gestión de Riesgo de Desastres en las Entidades Públicas y Privadas (PGRDEPP) en auditorías internas, inspecciones o revisiones de la matriz legal?
4. ¿Los responsables de cada proceso conocen las obligaciones derivadas de Decreto 2157/17 directrices generales para la elaboración del Plan de Gestión de Riesgo de Desastres en las Entidades Públicas y Privadas (PGRDEPP) que les aplican y cuentan con los recursos para cumplirlas?
5. ¿Se conservan registros (informes, actas, listas de verificación, reportes) que demuestren la aplicación práctica de Decreto 2157/17 directrices generales para la elaboración del Plan de Gestión de Riesgo de Desastres en las Entidades Públicas y Privadas (PGRDEPP) en la empresa?
6. ¿Las actualizaciones o derogatorias relacionadas con Decreto 2157/17 directrices generales para la elaboración del Plan de Gestión de Riesgo de Desastres en las Entidades Públicas y Privadas (PGRDEPP) se reflejan oportunamente en la matriz legal y en los documentos del SG-SST?</t>
  </si>
  <si>
    <t>1. ¿El SG-SST incorpora los requisitos establecidos en D. 1072/15 único reglamentario sector trabajo art. 2.2.4.6.15, 23, 24 y 25 dentro de sus procedimientos, estándares y controles operativos?
2. ¿Se cuenta con documentación actualizada (procedimientos, instructivos, protocolos) que evidencie la implementación de lo definido en D. 1072/15 único reglamentario sector trabajo art. 2.2.4.6.15, 23, 24 y 25?
3. ¿Se verifica de manera periódica el cumplimiento de D. 1072/15 único reglamentario sector trabajo art. 2.2.4.6.15, 23, 24 y 25 en auditorías internas, inspecciones o revisiones de la matriz legal?
4. ¿Los responsables de cada proceso conocen las obligaciones derivadas de D. 1072/15 único reglamentario sector trabajo art. 2.2.4.6.15, 23, 24 y 25 que les aplican y cuentan con los recursos para cumplirlas?
5. ¿Se conservan registros (informes, actas, listas de verificación, reportes) que demuestren la aplicación práctica de D. 1072/15 único reglamentario sector trabajo art. 2.2.4.6.15, 23, 24 y 25 en la empresa?
6. ¿Las actualizaciones o derogatorias relacionadas con D. 1072/15 único reglamentario sector trabajo art. 2.2.4.6.15, 23, 24 y 25 se reflejan oportunamente en la matriz legal y en los documentos del SG-SST?</t>
  </si>
  <si>
    <t>1. ¿El SG-SST incorpora los requisitos establecidos en D. 1076 Único reglamentario sector ambiente y desarrollo sostenible , Circular 26 24-07 de 2018 Instrucciones para la comunicación de eventos que pueden convertirse en probables Emergencias en Salud Pública dentro de sus procedimientos, estándares y controles operativos?
2. ¿Se cuenta con documentación actualizada (procedimientos, instructivos, protocolos) que evidencie la implementación de lo definido en D. 1076 Único reglamentario sector ambiente y desarrollo sostenible , Circular 26 24-07 de 2018 Instrucciones para la comunicación de eventos que pueden convertirse en probables Emergencias en Salud Pública?
3. ¿Se verifica de manera periódica el cumplimiento de D. 1076 Único reglamentario sector ambiente y desarrollo sostenible , Circular 26 24-07 de 2018 Instrucciones para la comunicación de eventos que pueden convertirse en probables Emergencias en Salud Pública en auditorías internas, inspecciones o revisiones de la matriz legal?
4. ¿Los responsables de cada proceso conocen las obligaciones derivadas de D. 1076 Único reglamentario sector ambiente y desarrollo sostenible , Circular 26 24-07 de 2018 Instrucciones para la comunicación de eventos que pueden convertirse en probables Emergencias en Salud Pública que les aplican y cuentan con los recursos para cumplirlas?
5. ¿Se conservan registros (informes, actas, listas de verificación, reportes) que demuestren la aplicación práctica de D. 1076 Único reglamentario sector ambiente y desarrollo sostenible , Circular 26 24-07 de 2018 Instrucciones para la comunicación de eventos que pueden convertirse en probables Emergencias en Salud Pública en la empresa?
6. ¿Las actualizaciones o derogatorias relacionadas con D. 1076 Único reglamentario sector ambiente y desarrollo sostenible , Circular 26 24-07 de 2018 Instrucciones para la comunicación de eventos que pueden convertirse en probables Emergencias en Salud Pública se reflejan oportunamente en la matriz legal y en los documentos del SG-SST?</t>
  </si>
  <si>
    <t>1. ¿La empresa conoce y ha analizado los lineamientos impartidos en Circular 26 24-07 de 2018 Instrucciones para la comunicación de eventos que pueden convertirse en probables Emergencias en Salud Pública frente a su actividad y condiciones de trabajo?
2. ¿Se han incorporado en los procedimientos internos las orientaciones y criterios definidos en Circular 26 24-07 de 2018 Instrucciones para la comunicación de eventos que pueden convertirse en probables Emergencias en Salud Pública?
3. ¿Existe evidencia de comunicación interna (correos, circulares, actas) sobre el contenido de Circular 26 24-07 de 2018 Instrucciones para la comunicación de eventos que pueden convertirse en probables Emergencias en Salud Pública a las áreas responsables?
4. ¿Se verifica en auditorías o revisiones internas el cumplimiento de las instrucciones dadas en Circular 26 24-07 de 2018 Instrucciones para la comunicación de eventos que pueden convertirse en probables Emergencias en Salud Pública?
5. ¿Los cambios o nuevas circulares que complementan o sustituyen a Circular 26 24-07 de 2018 Instrucciones para la comunicación de eventos que pueden convertirse en probables Emergencias en Salud Pública se actualizan oportunamente en la matriz legal?
6. ¿Se conservan registros de las decisiones tomadas a partir de Circular 26 24-07 de 2018 Instrucciones para la comunicación de eventos que pueden convertirse en probables Emergencias en Salud Pública en relación con el SG-SST?</t>
  </si>
  <si>
    <t>1. ¿El SG-SST incorpora los requisitos establecidos en Decreto 1478 del 03 de agosto de 2022. Por medio del cual se adopta la actualización del PNGRD y se modifica el Artículo 2.3.1.2.2.4.3 de la Subsección 4, Sección 2, Capítulo 2, Título 1, Libro 2, del Decreto Único Presidencial 1081 de 2015 dentro de sus procedimientos, estándares y controles operativos?
2. ¿Se cuenta con documentación actualizada (procedimientos, instructivos, protocolos) que evidencie la implementación de lo definido en Decreto 1478 del 03 de agosto de 2022. Por medio del cual se adopta la actualización del PNGRD y se modifica el Artículo 2.3.1.2.2.4.3 de la Subsección 4, Sección 2, Capítulo 2, Título 1, Libro 2, del Decreto Único Presidencial 1081 de 2015?
3. ¿Se verifica de manera periódica el cumplimiento de Decreto 1478 del 03 de agosto de 2022. Por medio del cual se adopta la actualización del PNGRD y se modifica el Artículo 2.3.1.2.2.4.3 de la Subsección 4, Sección 2, Capítulo 2, Título 1, Libro 2, del Decreto Único Presidencial 1081 de 2015 en auditorías internas, inspecciones o revisiones de la matriz legal?
4. ¿Los responsables de cada proceso conocen las obligaciones derivadas de Decreto 1478 del 03 de agosto de 2022. Por medio del cual se adopta la actualización del PNGRD y se modifica el Artículo 2.3.1.2.2.4.3 de la Subsección 4, Sección 2, Capítulo 2, Título 1, Libro 2, del Decreto Único Presidencial 1081 de 2015 que les aplican y cuentan con los recursos para cumplirlas?
5. ¿Se conservan registros (informes, actas, listas de verificación, reportes) que demuestren la aplicación práctica de Decreto 1478 del 03 de agosto de 2022. Por medio del cual se adopta la actualización del PNGRD y se modifica el Artículo 2.3.1.2.2.4.3 de la Subsección 4, Sección 2, Capítulo 2, Título 1, Libro 2, del Decreto Único Presidencial 1081 de 2015 en la empresa?
6. ¿Las actualizaciones o derogatorias relacionadas con Decreto 1478 del 03 de agosto de 2022. Por medio del cual se adopta la actualización del PNGRD y se modifica el Artículo 2.3.1.2.2.4.3 de la Subsección 4, Sección 2, Capítulo 2, Título 1, Libro 2, del Decreto Único Presidencial 1081 de 2015 se reflejan oportunamente en la matriz legal y en los documentos del SG-SST?</t>
  </si>
  <si>
    <t>1. ¿La empresa conoce y ha analizado los lineamientos impartidos en Circular 20202050064551 de 2020 Todo establecimiento deberá cumplir con inspecciones de seguridad que realiza el cuerpo de bomberos (DNBC) frente a su actividad y condiciones de trabajo?
2. ¿Se han incorporado en los procedimientos internos las orientaciones y criterios definidos en Circular 20202050064551 de 2020 Todo establecimiento deberá cumplir con inspecciones de seguridad que realiza el cuerpo de bomberos (DNBC)?
3. ¿Existe evidencia de comunicación interna (correos, circulares, actas) sobre el contenido de Circular 20202050064551 de 2020 Todo establecimiento deberá cumplir con inspecciones de seguridad que realiza el cuerpo de bomberos (DNBC) a las áreas responsables?
4. ¿Se verifica en auditorías o revisiones internas el cumplimiento de las instrucciones dadas en Circular 20202050064551 de 2020 Todo establecimiento deberá cumplir con inspecciones de seguridad que realiza el cuerpo de bomberos (DNBC)?
5. ¿Los cambios o nuevas circulares que complementan o sustituyen a Circular 20202050064551 de 2020 Todo establecimiento deberá cumplir con inspecciones de seguridad que realiza el cuerpo de bomberos (DNBC) se actualizan oportunamente en la matriz legal?
6. ¿Se conservan registros de las decisiones tomadas a partir de Circular 20202050064551 de 2020 Todo establecimiento deberá cumplir con inspecciones de seguridad que realiza el cuerpo de bomberos (DNBC) en relación con el SG-SST?</t>
  </si>
  <si>
    <t>1. ¿La empresa ha identificado y documentado en la matriz legal las obligaciones derivadas de Ley 40 de enero 19 de 1993 adopta el estatuto nacional contra el secuestro y se dictan otras disposiciones. art 25 Sanciones a empresas nacionales y extranjeras por el pago de un secuestrado y su relación con el SG-SST?
2. ¿Las políticas, procedimientos y programas del SG-SST incorporan de forma explícita los lineamientos establecidos en Ley 40 de enero 19 de 1993 adopta el estatuto nacional contra el secuestro y se dictan otras disposiciones. art 25 Sanciones a empresas nacionales y extranjeras por el pago de un secuestrado?
3. ¿Existe evidencia documental (actas, comunicaciones, registros, contratos, entre otros) que demuestre la aplicación de Ley 40 de enero 19 de 1993 adopta el estatuto nacional contra el secuestro y se dictan otras disposiciones. art 25 Sanciones a empresas nacionales y extranjeras por el pago de un secuestrado en la organización?
4. ¿Se ha socializado con trabajadores, líderes y responsables del SG-SST el contenido y alcance de Ley 40 de enero 19 de 1993 adopta el estatuto nacional contra el secuestro y se dictan otras disposiciones. art 25 Sanciones a empresas nacionales y extranjeras por el pago de un secuestrado y sus implicaciones en seguridad y salud en el trabajo?
5. ¿Se realiza seguimiento periódico al cumplimiento de Ley 40 de enero 19 de 1993 adopta el estatuto nacional contra el secuestro y se dictan otras disposiciones. art 25 Sanciones a empresas nacionales y extranjeras por el pago de un secuestrado, dejando soportes de las revisiones y acciones de mejora cuando se identifican brechas?
6. ¿Los cambios o reformas a Ley 40 de enero 19 de 1993 adopta el estatuto nacional contra el secuestro y se dictan otras disposiciones. art 25 Sanciones a empresas nacionales y extranjeras por el pago de un secuestrado se registran oportunamente en la matriz legal y se comunican a los procesos impactados?</t>
  </si>
  <si>
    <t>Biomecánicos (ergonómicos)</t>
  </si>
  <si>
    <t>Carga dinámica ( esfuerzo)
Carga estática (Posturas)
Movimientos.
Manipulación  manual de cargas</t>
  </si>
  <si>
    <t>Físico</t>
  </si>
  <si>
    <t xml:space="preserve">Ruido </t>
  </si>
  <si>
    <t>1. ¿La empresa ha identificado y documentado en la matriz legal las obligaciones derivadas de Ley 8321 de 1983 y su relación con el SG-SST?
2. ¿Las políticas, procedimientos y programas del SG-SST incorporan de forma explícita los lineamientos establecidos en Ley 8321 de 1983?
3. ¿Existe evidencia documental (actas, comunicaciones, registros, contratos, entre otros) que demuestre la aplicación de Ley 8321 de 1983 en la organización?
4. ¿Se ha socializado con trabajadores, líderes y responsables del SG-SST el contenido y alcance de Ley 8321 de 1983 y sus implicaciones en seguridad y salud en el trabajo?
5. ¿Se realiza seguimiento periódico al cumplimiento de Ley 8321 de 1983, dejando soportes de las revisiones y acciones de mejora cuando se identifican brechas?
6. ¿Los cambios o reformas a Ley 8321 de 1983 se registran oportunamente en la matriz legal y se comunican a los procesos impactados?</t>
  </si>
  <si>
    <t>1. ¿El SG-SST incorpora los requisitos establecidos en Decreto 948 de 1995 (Art.47,48,5). dentro de sus procedimientos, estándares y controles operativos?
2. ¿Se cuenta con documentación actualizada (procedimientos, instructivos, protocolos) que evidencie la implementación de lo definido en Decreto 948 de 1995 (Art.47,48,5).?
3. ¿Se verifica de manera periódica el cumplimiento de Decreto 948 de 1995 (Art.47,48,5). en auditorías internas, inspecciones o revisiones de la matriz legal?
4. ¿Los responsables de cada proceso conocen las obligaciones derivadas de Decreto 948 de 1995 (Art.47,48,5). que les aplican y cuentan con los recursos para cumplirlas?
5. ¿Se conservan registros (informes, actas, listas de verificación, reportes) que demuestren la aplicación práctica de Decreto 948 de 1995 (Art.47,48,5). en la empresa?
6. ¿Las actualizaciones o derogatorias relacionadas con Decreto 948 de 1995 (Art.47,48,5). se reflejan oportunamente en la matriz legal y en los documentos del SG-SST?</t>
  </si>
  <si>
    <t>1. ¿La empresa ha registrado en la matriz legal las obligaciones derivadas de R. Dto. 1477 del 2014 tabla de Enfermedades Laborales. y ha definido su aplicabilidad?
2. ¿Los procedimientos y controles del SG-SST contemplan lo establecido en R. Dto. 1477 del 2014 tabla de Enfermedades Laborales. para las actividades y procesos de la organización?
3. ¿Existe evidencia documental (registros, informes, actas, comunicaciones) que demuestre la aplicación de R. Dto. 1477 del 2014 tabla de Enfermedades Laborales.?
4. ¿Se ha socializado el contenido de R. Dto. 1477 del 2014 tabla de Enfermedades Laborales. con los responsables de cada proceso y con los trabajadores cuando es pertinente?
5. ¿Se revisa periódicamente el cumplimiento de R. Dto. 1477 del 2014 tabla de Enfermedades Laborales. y se generan planes de acción cuando se identifican desviaciones?
6. ¿La matriz legal se mantiene actualizada frente a modificaciones, derogatorias o nuevas disposiciones relacionadas con R. Dto. 1477 del 2014 tabla de Enfermedades Laborales.?</t>
  </si>
  <si>
    <t>1. ¿El SG-SST incorpora los requisitos establecidos en D. 1072/15 art. 2.2.4.6.15, 23 y 24 dentro de sus procedimientos, estándares y controles operativos?
2. ¿Se cuenta con documentación actualizada (procedimientos, instructivos, protocolos) que evidencie la implementación de lo definido en D. 1072/15 art. 2.2.4.6.15, 23 y 24?
3. ¿Se verifica de manera periódica el cumplimiento de D. 1072/15 art. 2.2.4.6.15, 23 y 24 en auditorías internas, inspecciones o revisiones de la matriz legal?
4. ¿Los responsables de cada proceso conocen las obligaciones derivadas de D. 1072/15 art. 2.2.4.6.15, 23 y 24 que les aplican y cuentan con los recursos para cumplirlas?
5. ¿Se conservan registros (informes, actas, listas de verificación, reportes) que demuestren la aplicación práctica de D. 1072/15 art. 2.2.4.6.15, 23 y 24 en la empresa?
6. ¿Las actualizaciones o derogatorias relacionadas con D. 1072/15 art. 2.2.4.6.15, 23 y 24 se reflejan oportunamente en la matriz legal y en los documentos del SG-SST?</t>
  </si>
  <si>
    <t>Validar SVE vibraciones</t>
  </si>
  <si>
    <t>Ambiente térmico</t>
  </si>
  <si>
    <t>Complementar, validar cumplimiento criterios color rojo</t>
  </si>
  <si>
    <t>Riesgo físico</t>
  </si>
  <si>
    <t>Iluminación</t>
  </si>
  <si>
    <t>1. ¿La empresa ha registrado en la matriz legal las obligaciones derivadas de (Resolución 181568/01/sep./de 2010 Retilap 1568_01_sep_de_2010_retilap y su anexo.) y ha definido su aplicabilidad?
2. ¿Los procedimientos y controles del SG-SST contemplan lo establecido en (Resolución 181568/01/sep./de 2010 Retilap 1568_01_sep_de_2010_retilap y su anexo.) para las actividades y procesos de la organización?
3. ¿Existe evidencia documental (registros, informes, actas, comunicaciones) que demuestre la aplicación de (Resolución 181568/01/sep./de 2010 Retilap 1568_01_sep_de_2010_retilap y su anexo.)?
4. ¿Se ha socializado el contenido de (Resolución 181568/01/sep./de 2010 Retilap 1568_01_sep_de_2010_retilap y su anexo.) con los responsables de cada proceso y con los trabajadores cuando es pertinente?
5. ¿Se revisa periódicamente el cumplimiento de (Resolución 181568/01/sep./de 2010 Retilap 1568_01_sep_de_2010_retilap y su anexo.) y se generan planes de acción cuando se identifican desviaciones?
6. ¿La matriz legal se mantiene actualizada frente a modificaciones, derogatorias o nuevas disposiciones relacionadas con (Resolución 181568/01/sep./de 2010 Retilap 1568_01_sep_de_2010_retilap y su anexo.)?</t>
  </si>
  <si>
    <t>1. ¿La empresa ha identificado los requisitos específicos de Resolución 90980 del 2013 retilap, R. 40122 de 2016 D. 1072/15 art. 2.2.4.6.15, 23 y 24, R. 40176 del 2-02-2023. MinMinas, por la cual se amplia el RETILAP que aplican a su actividad económica y tamaño?
2. ¿Se dispone de procedimientos, instructivos o formatos que permitan cumplir con las exigencias técnicas y administrativas de Resolución 90980 del 2013 retilap, R. 40122 de 2016 D. 1072/15 art. 2.2.4.6.15, 23 y 24, R. 40176 del 2-02-2023. MinMinas, por la cual se amplia el RETILAP?
3. ¿Existen registros (informes, actas, listados, certificados, reportes en plataformas) que evidencien el cumplimiento de Resolución 90980 del 2013 retilap, R. 40122 de 2016 D. 1072/15 art. 2.2.4.6.15, 23 y 24, R. 40176 del 2-02-2023. MinMinas, por la cual se amplia el RETILAP?
4. ¿Los responsables del SG-SST realizan seguimiento periódico a los ítems de Resolución 90980 del 2013 retilap, R. 40122 de 2016 D. 1072/15 art. 2.2.4.6.15, 23 y 24, R. 40176 del 2-02-2023. MinMinas, por la cual se amplia el RETILAP incluidos en la matriz legal y documentan los resultados?
5. ¿Se han comunicado los requisitos de Resolución 90980 del 2013 retilap, R. 40122 de 2016 D. 1072/15 art. 2.2.4.6.15, 23 y 24, R. 40176 del 2-02-2023. MinMinas, por la cual se amplia el RETILAP a los trabajadores, contratistas y proveedores que se ven impactados por esta norma?
6. ¿Las no conformidades asociadas al cumplimiento de Resolución 90980 del 2013 retilap, R. 40122 de 2016 D. 1072/15 art. 2.2.4.6.15, 23 y 24, R. 40176 del 2-02-2023. MinMinas, por la cual se amplia el RETILAP generan acciones correctivas o de mejora con responsables y fechas definidas?</t>
  </si>
  <si>
    <t>1. ¿La empresa ha registrado en la matriz legal las obligaciones derivadas de R. 40122 de 2016 D. 1072/15 art. 2.2.4.6.15, 23 y 24 y ha definido su aplicabilidad?
2. ¿Los procedimientos y controles del SG-SST contemplan lo establecido en R. 40122 de 2016 D. 1072/15 art. 2.2.4.6.15, 23 y 24 para las actividades y procesos de la organización?
3. ¿Existe evidencia documental (registros, informes, actas, comunicaciones) que demuestre la aplicación de R. 40122 de 2016 D. 1072/15 art. 2.2.4.6.15, 23 y 24?
4. ¿Se ha socializado el contenido de R. 40122 de 2016 D. 1072/15 art. 2.2.4.6.15, 23 y 24 con los responsables de cada proceso y con los trabajadores cuando es pertinente?
5. ¿Se revisa periódicamente el cumplimiento de R. 40122 de 2016 D. 1072/15 art. 2.2.4.6.15, 23 y 24 y se generan planes de acción cuando se identifican desviaciones?
6. ¿La matriz legal se mantiene actualizada frente a modificaciones, derogatorias o nuevas disposiciones relacionadas con R. 40122 de 2016 D. 1072/15 art. 2.2.4.6.15, 23 y 24?</t>
  </si>
  <si>
    <t>1. ¿La empresa ha registrado en la matriz legal las obligaciones derivadas de R. 4 0 1 5 0 del 3-05-2024 MinMinas modifica el Reglamento Técnico de Iluminación y Alumbrado Público - RETILAP y ha definido su aplicabilidad?
2. ¿Los procedimientos y controles del SG-SST contemplan lo establecido en R. 4 0 1 5 0 del 3-05-2024 MinMinas modifica el Reglamento Técnico de Iluminación y Alumbrado Público - RETILAP para las actividades y procesos de la organización?
3. ¿Existe evidencia documental (registros, informes, actas, comunicaciones) que demuestre la aplicación de R. 4 0 1 5 0 del 3-05-2024 MinMinas modifica el Reglamento Técnico de Iluminación y Alumbrado Público - RETILAP?
4. ¿Se ha socializado el contenido de R. 4 0 1 5 0 del 3-05-2024 MinMinas modifica el Reglamento Técnico de Iluminación y Alumbrado Público - RETILAP con los responsables de cada proceso y con los trabajadores cuando es pertinente?
5. ¿Se revisa periódicamente el cumplimiento de R. 4 0 1 5 0 del 3-05-2024 MinMinas modifica el Reglamento Técnico de Iluminación y Alumbrado Público - RETILAP y se generan planes de acción cuando se identifican desviaciones?
6. ¿La matriz legal se mantiene actualizada frente a modificaciones, derogatorias o nuevas disposiciones relacionadas con R. 4 0 1 5 0 del 3-05-2024 MinMinas modifica el Reglamento Técnico de Iluminación y Alumbrado Público - RETILAP?</t>
  </si>
  <si>
    <t>1. ¿La empresa ha identificado los requisitos específicos de Resolución 2400 del 22-05 de 1979 Min trabajo Art. 110,111 - 120 (Radiaciones no ionizantes: Ultravioleta, Infrarrojas y radiofrecuencia, y del 339, 521, 548-581 ,Cilindros de gases comprimidos, Soldadura eléctrica autógena y corte de metales, Aire comprimido) que aplican a su actividad económica y tamaño?
2. ¿Se dispone de procedimientos, instructivos o formatos que permitan cumplir con las exigencias técnicas y administrativas de Resolución 2400 del 22-05 de 1979 Min trabajo Art. 110,111 - 120 (Radiaciones no ionizantes: Ultravioleta, Infrarrojas y radiofrecuencia, y del 339, 521, 548-581 ,Cilindros de gases comprimidos, Soldadura eléctrica autógena y corte de metales, Aire comprimido)?
3. ¿Existen registros (informes, actas, listados, certificados, reportes en plataformas) que evidencien el cumplimiento de Resolución 2400 del 22-05 de 1979 Min trabajo Art. 110,111 - 120 (Radiaciones no ionizantes: Ultravioleta, Infrarrojas y radiofrecuencia, y del 339, 521, 548-581 ,Cilindros de gases comprimidos, Soldadura eléctrica autógena y corte de metales, Aire comprimido)?
4. ¿Los responsables del SG-SST realizan seguimiento periódico a los ítems de Resolución 2400 del 22-05 de 1979 Min trabajo Art. 110,111 - 120 (Radiaciones no ionizantes: Ultravioleta, Infrarrojas y radiofrecuencia, y del 339, 521, 548-581 ,Cilindros de gases comprimidos, Soldadura eléctrica autógena y corte de metales, Aire comprimido) incluidos en la matriz legal y documentan los resultados?
5. ¿Se han comunicado los requisitos de Resolución 2400 del 22-05 de 1979 Min trabajo Art. 110,111 - 120 (Radiaciones no ionizantes: Ultravioleta, Infrarrojas y radiofrecuencia, y del 339, 521, 548-581 ,Cilindros de gases comprimidos, Soldadura eléctrica autógena y corte de metales, Aire comprimido) a los trabajadores, contratistas y proveedores que se ven impactados por esta norma?
6. ¿Las no conformidades asociadas al cumplimiento de Resolución 2400 del 22-05 de 1979 Min trabajo Art. 110,111 - 120 (Radiaciones no ionizantes: Ultravioleta, Infrarrojas y radiofrecuencia, y del 339, 521, 548-581 ,Cilindros de gases comprimidos, Soldadura eléctrica autógena y corte de metales, Aire comprimido) generan acciones correctivas o de mejora con responsables y fechas definidas?</t>
  </si>
  <si>
    <t>Radiaciones ionizantes</t>
  </si>
  <si>
    <t>1. ¿La empresa ha identificado los requisitos específicos de Resolución 9031/90 que aplican a su actividad económica y tamaño?
2. ¿Se dispone de procedimientos, instructivos o formatos que permitan cumplir con las exigencias técnicas y administrativas de Resolución 9031/90?
3. ¿Existen registros (informes, actas, listados, certificados, reportes en plataformas) que evidencien el cumplimiento de Resolución 9031/90?
4. ¿Los responsables del SG-SST realizan seguimiento periódico a los ítems de Resolución 9031/90 incluidos en la matriz legal y documentan los resultados?
5. ¿Se han comunicado los requisitos de Resolución 9031/90 a los trabajadores, contratistas y proveedores que se ven impactados por esta norma?
6. ¿Las no conformidades asociadas al cumplimiento de Resolución 9031/90 generan acciones correctivas o de mejora con responsables y fechas definidas?</t>
  </si>
  <si>
    <t>1. ¿La empresa ha identificado los requisitos específicos de Resolución 2003 de 2014 que aplican a su actividad económica y tamaño?
2. ¿Se dispone de procedimientos, instructivos o formatos que permitan cumplir con las exigencias técnicas y administrativas de Resolución 2003 de 2014?
3. ¿Existen registros (informes, actas, listados, certificados, reportes en plataformas) que evidencien el cumplimiento de Resolución 2003 de 2014?
4. ¿Los responsables del SG-SST realizan seguimiento periódico a los ítems de Resolución 2003 de 2014 incluidos en la matriz legal y documentan los resultados?
5. ¿Se han comunicado los requisitos de Resolución 2003 de 2014 a los trabajadores, contratistas y proveedores que se ven impactados por esta norma?
6. ¿Las no conformidades asociadas al cumplimiento de Resolución 2003 de 2014 generan acciones correctivas o de mejora con responsables y fechas definidas?</t>
  </si>
  <si>
    <t>1. ¿La empresa ha identificado los requisitos específicos de Resolución 482/18 Reglamenta uso y control de calidad de equipos generadores de RX, D. 1072/15 art. 2.2.4.6.15, 23 y 24 que aplican a su actividad económica y tamaño?
2. ¿Se dispone de procedimientos, instructivos o formatos que permitan cumplir con las exigencias técnicas y administrativas de Resolución 482/18 Reglamenta uso y control de calidad de equipos generadores de RX, D. 1072/15 art. 2.2.4.6.15, 23 y 24?
3. ¿Existen registros (informes, actas, listados, certificados, reportes en plataformas) que evidencien el cumplimiento de Resolución 482/18 Reglamenta uso y control de calidad de equipos generadores de RX, D. 1072/15 art. 2.2.4.6.15, 23 y 24?
4. ¿Los responsables del SG-SST realizan seguimiento periódico a los ítems de Resolución 482/18 Reglamenta uso y control de calidad de equipos generadores de RX, D. 1072/15 art. 2.2.4.6.15, 23 y 24 incluidos en la matriz legal y documentan los resultados?
5. ¿Se han comunicado los requisitos de Resolución 482/18 Reglamenta uso y control de calidad de equipos generadores de RX, D. 1072/15 art. 2.2.4.6.15, 23 y 24 a los trabajadores, contratistas y proveedores que se ven impactados por esta norma?
6. ¿Las no conformidades asociadas al cumplimiento de Resolución 482/18 Reglamenta uso y control de calidad de equipos generadores de RX, D. 1072/15 art. 2.2.4.6.15, 23 y 24 generan acciones correctivas o de mejora con responsables y fechas definidas?</t>
  </si>
  <si>
    <t>Psico laboral</t>
  </si>
  <si>
    <t>1. ¿La empresa ha identificado los requisitos específicos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que aplican a su actividad económica y tamaño?
2. ¿Se dispone de procedimientos, instructivos o formatos que permitan cumplir con las exigencias técnicas y administrativas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3. ¿Existen registros (informes, actas, listados, certificados, reportes en plataformas) que evidencien el cumplimiento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4. ¿Los responsables del SG-SST realizan seguimiento periódico a los ítems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incluidos en la matriz legal y documentan los resultados?
5. ¿Se han comunicado los requisitos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a los trabajadores, contratistas y proveedores que se ven impactados por esta norma?
6. ¿Las no conformidades asociadas al cumplimiento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generan acciones correctivas o de mejora con responsables y fechas definidas?</t>
  </si>
  <si>
    <t>validar coherencia con manual de convivencia y código de conducta
Los otros criterios en rojo como vigencia del COCOLAB Validar que esté al día con los informes trimestrale y anuales
Art de la 2191 desconexión lab política desconexión lab
otros criterios color rojo</t>
  </si>
  <si>
    <t>1. ¿La empresa ha identificado y documentado en la matriz legal las obligaciones derivadas de Ley 1010 de 2006 (Art. 9#1) y su relación con el SG-SST?
2. ¿Las políticas, procedimientos y programas del SG-SST incorporan de forma explícita los lineamientos establecidos en Ley 1010 de 2006 (Art. 9#1)?
3. ¿Existe evidencia documental (actas, comunicaciones, registros, contratos, entre otros) que demuestre la aplicación de Ley 1010 de 2006 (Art. 9#1) en la organización?
4. ¿Se ha socializado con trabajadores, líderes y responsables del SG-SST el contenido y alcance de Ley 1010 de 2006 (Art. 9#1) y sus implicaciones en seguridad y salud en el trabajo?
5. ¿Se realiza seguimiento periódico al cumplimiento de Ley 1010 de 2006 (Art. 9#1), dejando soportes de las revisiones y acciones de mejora cuando se identifican brechas?
6. ¿Los cambios o reformas a Ley 1010 de 2006 (Art. 9#1) se registran oportunamente en la matriz legal y se comunican a los procesos impactados?</t>
  </si>
  <si>
    <t>1. ¿La empresa ha identificado los requisitos específicos de Resolución 652/2012 Comité de Convivencia que aplican a su actividad económica y tamaño?
2. ¿Se dispone de procedimientos, instructivos o formatos que permitan cumplir con las exigencias técnicas y administrativas de Resolución 652/2012 Comité de Convivencia?
3. ¿Existen registros (informes, actas, listados, certificados, reportes en plataformas) que evidencien el cumplimiento de Resolución 652/2012 Comité de Convivencia?
4. ¿Los responsables del SG-SST realizan seguimiento periódico a los ítems de Resolución 652/2012 Comité de Convivencia incluidos en la matriz legal y documentan los resultados?
5. ¿Se han comunicado los requisitos de Resolución 652/2012 Comité de Convivencia a los trabajadores, contratistas y proveedores que se ven impactados por esta norma?
6. ¿Las no conformidades asociadas al cumplimiento de Resolución 652/2012 Comité de Convivencia generan acciones correctivas o de mejora con responsables y fechas definidas?</t>
  </si>
  <si>
    <t>1. ¿La empresa ha identificado los requisitos específicos de Resolución 1356/2012 Modifica parcialmente la 652. que aplican a su actividad económica y tamaño?
2. ¿Se dispone de procedimientos, instructivos o formatos que permitan cumplir con las exigencias técnicas y administrativas de Resolución 1356/2012 Modifica parcialmente la 652.?
3. ¿Existen registros (informes, actas, listados, certificados, reportes en plataformas) que evidencien el cumplimiento de Resolución 1356/2012 Modifica parcialmente la 652.?
4. ¿Los responsables del SG-SST realizan seguimiento periódico a los ítems de Resolución 1356/2012 Modifica parcialmente la 652. incluidos en la matriz legal y documentan los resultados?
5. ¿Se han comunicado los requisitos de Resolución 1356/2012 Modifica parcialmente la 652. a los trabajadores, contratistas y proveedores que se ven impactados por esta norma?
6. ¿Las no conformidades asociadas al cumplimiento de Resolución 1356/2012 Modifica parcialmente la 652. generan acciones correctivas o de mejora con responsables y fechas definidas?</t>
  </si>
  <si>
    <t>1. ¿La empresa ha identificado y documentado en la matriz legal las obligaciones derivadas de Ley 1616 de 2013 Salud mental y su relación con el SG-SST?
2. ¿Las políticas, procedimientos y programas del SG-SST incorporan de forma explícita los lineamientos establecidos en Ley 1616 de 2013 Salud mental?
3. ¿Existe evidencia documental (actas, comunicaciones, registros, contratos, entre otros) que demuestre la aplicación de Ley 1616 de 2013 Salud mental en la organización?
4. ¿Se ha socializado con trabajadores, líderes y responsables del SG-SST el contenido y alcance de Ley 1616 de 2013 Salud mental y sus implicaciones en seguridad y salud en el trabajo?
5. ¿Se realiza seguimiento periódico al cumplimiento de Ley 1616 de 2013 Salud mental, dejando soportes de las revisiones y acciones de mejora cuando se identifican brechas?
6. ¿Los cambios o reformas a Ley 1616 de 2013 Salud mental se registran oportunamente en la matriz legal y se comunican a los procesos impactados?</t>
  </si>
  <si>
    <t>1. ¿El SG-SST incorpora los requisitos establecidos en Decreto 658 de 2013 Cronograma de reglamentación e implementación de la Ley 1616 de 2013 que garantiza el ejercicio pleno al derecho de la salud mental en Colombia dentro de sus procedimientos, estándares y controles operativos?
2. ¿Se cuenta con documentación actualizada (procedimientos, instructivos, protocolos) que evidencie la implementación de lo definido en Decreto 658 de 2013 Cronograma de reglamentación e implementación de la Ley 1616 de 2013 que garantiza el ejercicio pleno al derecho de la salud mental en Colombia?
3. ¿Se verifica de manera periódica el cumplimiento de Decreto 658 de 2013 Cronograma de reglamentación e implementación de la Ley 1616 de 2013 que garantiza el ejercicio pleno al derecho de la salud mental en Colombia en auditorías internas, inspecciones o revisiones de la matriz legal?
4. ¿Los responsables de cada proceso conocen las obligaciones derivadas de Decreto 658 de 2013 Cronograma de reglamentación e implementación de la Ley 1616 de 2013 que garantiza el ejercicio pleno al derecho de la salud mental en Colombia que les aplican y cuentan con los recursos para cumplirlas?
5. ¿Se conservan registros (informes, actas, listas de verificación, reportes) que demuestren la aplicación práctica de Decreto 658 de 2013 Cronograma de reglamentación e implementación de la Ley 1616 de 2013 que garantiza el ejercicio pleno al derecho de la salud mental en Colombia en la empresa?
6. ¿Las actualizaciones o derogatorias relacionadas con Decreto 658 de 2013 Cronograma de reglamentación e implementación de la Ley 1616 de 2013 que garantiza el ejercicio pleno al derecho de la salud mental en Colombia se reflejan oportunamente en la matriz legal y en los documentos del SG-SST?</t>
  </si>
  <si>
    <t>1. ¿La empresa ha identificado los requisitos específicos de Resolución 4886 del 07-11-2018 por la cual se adopta la Política Nacional de salud mental que aplican a su actividad económica y tamaño?
2. ¿Se dispone de procedimientos, instructivos o formatos que permitan cumplir con las exigencias técnicas y administrativas de Resolución 4886 del 07-11-2018 por la cual se adopta la Política Nacional de salud mental?
3. ¿Existen registros (informes, actas, listados, certificados, reportes en plataformas) que evidencien el cumplimiento de Resolución 4886 del 07-11-2018 por la cual se adopta la Política Nacional de salud mental?
4. ¿Los responsables del SG-SST realizan seguimiento periódico a los ítems de Resolución 4886 del 07-11-2018 por la cual se adopta la Política Nacional de salud mental incluidos en la matriz legal y documentan los resultados?
5. ¿Se han comunicado los requisitos de Resolución 4886 del 07-11-2018 por la cual se adopta la Política Nacional de salud mental a los trabajadores, contratistas y proveedores que se ven impactados por esta norma?
6. ¿Las no conformidades asociadas al cumplimiento de Resolución 4886 del 07-11-2018 por la cual se adopta la Política Nacional de salud mental generan acciones correctivas o de mejora con responsables y fechas definidas?</t>
  </si>
  <si>
    <t>1. ¿La empresa ha identificado y documentado en la matriz legal las obligaciones derivadas de Ley 1414 de 2010. Protección para las personas que padecen epilepsia, art 14. Garantizarles sus derechos y la SST y su relación con el SG-SST?
2. ¿Las políticas, procedimientos y programas del SG-SST incorporan de forma explícita los lineamientos establecidos en Ley 1414 de 2010. Protección para las personas que padecen epilepsia, art 14. Garantizarles sus derechos y la SST?
3. ¿Existe evidencia documental (actas, comunicaciones, registros, contratos, entre otros) que demuestre la aplicación de Ley 1414 de 2010. Protección para las personas que padecen epilepsia, art 14. Garantizarles sus derechos y la SST en la organización?
4. ¿Se ha socializado con trabajadores, líderes y responsables del SG-SST el contenido y alcance de Ley 1414 de 2010. Protección para las personas que padecen epilepsia, art 14. Garantizarles sus derechos y la SST y sus implicaciones en seguridad y salud en el trabajo?
5. ¿Se realiza seguimiento periódico al cumplimiento de Ley 1414 de 2010. Protección para las personas que padecen epilepsia, art 14. Garantizarles sus derechos y la SST, dejando soportes de las revisiones y acciones de mejora cuando se identifican brechas?
6. ¿Los cambios o reformas a Ley 1414 de 2010. Protección para las personas que padecen epilepsia, art 14. Garantizarles sus derechos y la SST se registran oportunamente en la matriz legal y se comunican a los procesos impactados?</t>
  </si>
  <si>
    <t>1. ¿La empresa ha identificado y documentado en la matriz legal las obligaciones derivadas de Ley 1752 de 2015 Por medio de la cual se modifica la Ley 1482 de 2011, para sancionar penalmente la discriminación contra las personas con discapacidad. y su relación con el SG-SST?
2. ¿Las políticas, procedimientos y programas del SG-SST incorporan de forma explícita los lineamientos establecidos en Ley 1752 de 2015 Por medio de la cual se modifica la Ley 1482 de 2011, para sancionar penalmente la discriminación contra las personas con discapacidad.?
3. ¿Existe evidencia documental (actas, comunicaciones, registros, contratos, entre otros) que demuestre la aplicación de Ley 1752 de 2015 Por medio de la cual se modifica la Ley 1482 de 2011, para sancionar penalmente la discriminación contra las personas con discapacidad. en la organización?
4. ¿Se ha socializado con trabajadores, líderes y responsables del SG-SST el contenido y alcance de Ley 1752 de 2015 Por medio de la cual se modifica la Ley 1482 de 2011, para sancionar penalmente la discriminación contra las personas con discapacidad. y sus implicaciones en seguridad y salud en el trabajo?
5. ¿Se realiza seguimiento periódico al cumplimiento de Ley 1752 de 2015 Por medio de la cual se modifica la Ley 1482 de 2011, para sancionar penalmente la discriminación contra las personas con discapacidad., dejando soportes de las revisiones y acciones de mejora cuando se identifican brechas?
6. ¿Los cambios o reformas a Ley 1752 de 2015 Por medio de la cual se modifica la Ley 1482 de 2011, para sancionar penalmente la discriminación contra las personas con discapacidad. se registran oportunamente en la matriz legal y se comunican a los procesos impactados?</t>
  </si>
  <si>
    <t>1. ¿La empresa ha identificado y documentado en la matriz legal las obligaciones derivadas de Ley 1257 de 2008 Artículo 12. Medidas en el ámbito Laboral (…) y su relación con el SG-SST?
2. ¿Las políticas, procedimientos y programas del SG-SST incorporan de forma explícita los lineamientos establecidos en Ley 1257 de 2008 Artículo 12. Medidas en el ámbito Laboral (…)?
3. ¿Existe evidencia documental (actas, comunicaciones, registros, contratos, entre otros) que demuestre la aplicación de Ley 1257 de 2008 Artículo 12. Medidas en el ámbito Laboral (…) en la organización?
4. ¿Se ha socializado con trabajadores, líderes y responsables del SG-SST el contenido y alcance de Ley 1257 de 2008 Artículo 12. Medidas en el ámbito Laboral (…) y sus implicaciones en seguridad y salud en el trabajo?
5. ¿Se realiza seguimiento periódico al cumplimiento de Ley 1257 de 2008 Artículo 12. Medidas en el ámbito Laboral (…), dejando soportes de las revisiones y acciones de mejora cuando se identifican brechas?
6. ¿Los cambios o reformas a Ley 1257 de 2008 Artículo 12. Medidas en el ámbito Laboral (…) se registran oportunamente en la matriz legal y se comunican a los procesos impactados?</t>
  </si>
  <si>
    <t>1. ¿El SG-SST incorpora los requisitos establecidos en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dentro de sus procedimientos, estándares y controles operativos?
2. ¿Se cuenta con documentación actualizada (procedimientos, instructivos, protocolos) que evidencie la implementación de lo definido en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3. ¿Se verifica de manera periódica el cumplimiento de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en auditorías internas, inspecciones o revisiones de la matriz legal?
4. ¿Los responsables de cada proceso conocen las obligaciones derivadas de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que les aplican y cuentan con los recursos para cumplirlas?
5. ¿Se conservan registros (informes, actas, listas de verificación, reportes) que demuestren la aplicación práctica de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en la empresa?
6. ¿Las actualizaciones o derogatorias relacionadas con Decreto 4463 de 2011: Desarrollar campañas para erradicar todo acto de discriminación y violencia contra las mujeres en el ámbito laboral. Tramitar las quejas de acoso sexual y de otras formas de violencia contra la mujer.Ley 1857/17. Jornada semestral/familias, Ley 2191 del 6-01-2022 Congreso regula la desconexión laboral se reflejan oportunamente en la matriz legal y en los documentos del SG-SST?</t>
  </si>
  <si>
    <t>1. ¿La empresa ha identificado y documentado en la matriz legal las obligaciones derivadas de Ley 2191 del 6-01-2022 Congreso regula la desconexión laboral y su relación con el SG-SST?
2. ¿Las políticas, procedimientos y programas del SG-SST incorporan de forma explícita los lineamientos establecidos en Ley 2191 del 6-01-2022 Congreso regula la desconexión laboral?
3. ¿Existe evidencia documental (actas, comunicaciones, registros, contratos, entre otros) que demuestre la aplicación de Ley 2191 del 6-01-2022 Congreso regula la desconexión laboral en la organización?
4. ¿Se ha socializado con trabajadores, líderes y responsables del SG-SST el contenido y alcance de Ley 2191 del 6-01-2022 Congreso regula la desconexión laboral y sus implicaciones en seguridad y salud en el trabajo?
5. ¿Se realiza seguimiento periódico al cumplimiento de Ley 2191 del 6-01-2022 Congreso regula la desconexión laboral, dejando soportes de las revisiones y acciones de mejora cuando se identifican brechas?
6. ¿Los cambios o reformas a Ley 2191 del 6-01-2022 Congreso regula la desconexión laboral se registran oportunamente en la matriz legal y se comunican a los procesos impactados?</t>
  </si>
  <si>
    <t>1. ¿La empresa conoce y ha analizado los lineamientos impartidos en Circular 001 del 14-02-2022 Procuraduría G de la nación. Cumplimiento a la política pública en salud mental y el fortalecimiento de acciones de promoción y prevención para mejorar y garantizar la salud mental de los colombianos frente a su actividad y condiciones de trabajo?
2. ¿Se han incorporado en los procedimientos internos las orientaciones y criterios definidos en Circular 001 del 14-02-2022 Procuraduría G de la nación. Cumplimiento a la política pública en salud mental y el fortalecimiento de acciones de promoción y prevención para mejorar y garantizar la salud mental de los colombianos?
3. ¿Existe evidencia de comunicación interna (correos, circulares, actas) sobre el contenido de Circular 001 del 14-02-2022 Procuraduría G de la nación. Cumplimiento a la política pública en salud mental y el fortalecimiento de acciones de promoción y prevención para mejorar y garantizar la salud mental de los colombianos a las áreas responsables?
4. ¿Se verifica en auditorías o revisiones internas el cumplimiento de las instrucciones dadas en Circular 001 del 14-02-2022 Procuraduría G de la nación. Cumplimiento a la política pública en salud mental y el fortalecimiento de acciones de promoción y prevención para mejorar y garantizar la salud mental de los colombianos?
5. ¿Los cambios o nuevas circulares que complementan o sustituyen a Circular 001 del 14-02-2022 Procuraduría G de la nación. Cumplimiento a la política pública en salud mental y el fortalecimiento de acciones de promoción y prevención para mejorar y garantizar la salud mental de los colombianos se actualizan oportunamente en la matriz legal?
6. ¿Se conservan registros de las decisiones tomadas a partir de Circular 001 del 14-02-2022 Procuraduría G de la nación. Cumplimiento a la política pública en salud mental y el fortalecimiento de acciones de promoción y prevención para mejorar y garantizar la salud mental de los colombianos en relación con el SG-SST?</t>
  </si>
  <si>
    <t>1. ¿La empresa ha identificado y documentado en la matriz legal las obligaciones derivadas de Ley 2209 del 23-05 de 2022 Congreso modificó el artículo 18 de la ley 1010 de 2006, las acciones de Acoso aboral caducan a los 3 años y su relación con el SG-SST?
2. ¿Las políticas, procedimientos y programas del SG-SST incorporan de forma explícita los lineamientos establecidos en Ley 2209 del 23-05 de 2022 Congreso modificó el artículo 18 de la ley 1010 de 2006, las acciones de Acoso aboral caducan a los 3 años?
3. ¿Existe evidencia documental (actas, comunicaciones, registros, contratos, entre otros) que demuestre la aplicación de Ley 2209 del 23-05 de 2022 Congreso modificó el artículo 18 de la ley 1010 de 2006, las acciones de Acoso aboral caducan a los 3 años en la organización?
4. ¿Se ha socializado con trabajadores, líderes y responsables del SG-SST el contenido y alcance de Ley 2209 del 23-05 de 2022 Congreso modificó el artículo 18 de la ley 1010 de 2006, las acciones de Acoso aboral caducan a los 3 años y sus implicaciones en seguridad y salud en el trabajo?
5. ¿Se realiza seguimiento periódico al cumplimiento de Ley 2209 del 23-05 de 2022 Congreso modificó el artículo 18 de la ley 1010 de 2006, las acciones de Acoso aboral caducan a los 3 años, dejando soportes de las revisiones y acciones de mejora cuando se identifican brechas?
6. ¿Los cambios o reformas a Ley 2209 del 23-05 de 2022 Congreso modificó el artículo 18 de la ley 1010 de 2006, las acciones de Acoso aboral caducan a los 3 años se registran oportunamente en la matriz legal y se comunican a los procesos impactados?</t>
  </si>
  <si>
    <t>1. ¿La empresa ha identificado los requisitos específicos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que aplican a su actividad económica y tamaño?
2. ¿Se dispone de procedimientos, instructivos o formatos que permitan cumplir con las exigencias técnicas y administrativas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3. ¿Existen registros (informes, actas, listados, certificados, reportes en plataformas) que evidencien el cumplimiento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4. ¿Los responsables del SG-SST realizan seguimiento periódico a los ítems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incluidos en la matriz legal y documentan los resultados?
5. ¿Se han comunicado los requisitos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a los trabajadores, contratistas y proveedores que se ven impactados por esta norma?
6. ¿Las no conformidades asociadas al cumplimiento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 generan acciones correctivas o de mejora con responsables y fechas definidas?</t>
  </si>
  <si>
    <t>1. ¿La empresa conoce y ha analizado los lineamientos impartidos en Circular 69 del 22-11-2022 Aclara Fuero de protección ante queja de AL frente a su actividad y condiciones de trabajo?
2. ¿Se han incorporado en los procedimientos internos las orientaciones y criterios definidos en Circular 69 del 22-11-2022 Aclara Fuero de protección ante queja de AL?
3. ¿Existe evidencia de comunicación interna (correos, circulares, actas) sobre el contenido de Circular 69 del 22-11-2022 Aclara Fuero de protección ante queja de AL a las áreas responsables?
4. ¿Se verifica en auditorías o revisiones internas el cumplimiento de las instrucciones dadas en Circular 69 del 22-11-2022 Aclara Fuero de protección ante queja de AL?
5. ¿Los cambios o nuevas circulares que complementan o sustituyen a Circular 69 del 22-11-2022 Aclara Fuero de protección ante queja de AL se actualizan oportunamente en la matriz legal?
6. ¿Se conservan registros de las decisiones tomadas a partir de Circular 69 del 22-11-2022 Aclara Fuero de protección ante queja de AL en relación con el SG-SST?</t>
  </si>
  <si>
    <t>1. ¿La empresa conoce y ha analizado los lineamientos impartidos en Circular 026 del 8-03-2023 Min trabajo prevención y atención del acoso laboral y sexual frente a su actividad y condiciones de trabajo?
2. ¿Se han incorporado en los procedimientos internos las orientaciones y criterios definidos en Circular 026 del 8-03-2023 Min trabajo prevención y atención del acoso laboral y sexual?
3. ¿Existe evidencia de comunicación interna (correos, circulares, actas) sobre el contenido de Circular 026 del 8-03-2023 Min trabajo prevención y atención del acoso laboral y sexual a las áreas responsables?
4. ¿Se verifica en auditorías o revisiones internas el cumplimiento de las instrucciones dadas en Circular 026 del 8-03-2023 Min trabajo prevención y atención del acoso laboral y sexual?
5. ¿Los cambios o nuevas circulares que complementan o sustituyen a Circular 026 del 8-03-2023 Min trabajo prevención y atención del acoso laboral y sexual se actualizan oportunamente en la matriz legal?
6. ¿Se conservan registros de las decisiones tomadas a partir de Circular 026 del 8-03-2023 Min trabajo prevención y atención del acoso laboral y sexual en relación con el SG-SST?</t>
  </si>
  <si>
    <t>1. ¿La empresa ha identificado y documentado en la matriz legal las obligaciones derivadas de LEY 2365 del 20-06- 2024 Congreso, por medio de la cual se adoptan medidas de prevención, protección y atención del acoso sexual en el ámbito laboral y su relación con el SG-SST?
2. ¿Las políticas, procedimientos y programas del SG-SST incorporan de forma explícita los lineamientos establecidos en LEY 2365 del 20-06- 2024 Congreso, por medio de la cual se adoptan medidas de prevención, protección y atención del acoso sexual en el ámbito laboral?
3. ¿Existe evidencia documental (actas, comunicaciones, registros, contratos, entre otros) que demuestre la aplicación de LEY 2365 del 20-06- 2024 Congreso, por medio de la cual se adoptan medidas de prevención, protección y atención del acoso sexual en el ámbito laboral en la organización?
4. ¿Se ha socializado con trabajadores, líderes y responsables del SG-SST el contenido y alcance de LEY 2365 del 20-06- 2024 Congreso, por medio de la cual se adoptan medidas de prevención, protección y atención del acoso sexual en el ámbito laboral y sus implicaciones en seguridad y salud en el trabajo?
5. ¿Se realiza seguimiento periódico al cumplimiento de LEY 2365 del 20-06- 2024 Congreso, por medio de la cual se adoptan medidas de prevención, protección y atención del acoso sexual en el ámbito laboral, dejando soportes de las revisiones y acciones de mejora cuando se identifican brechas?
6. ¿Los cambios o reformas a LEY 2365 del 20-06- 2024 Congreso, por medio de la cual se adoptan medidas de prevención, protección y atención del acoso sexual en el ámbito laboral se registran oportunamente en la matriz legal y se comunican a los procesos impactados?</t>
  </si>
  <si>
    <t>1. ¿La empresa conoce y ha analizado los lineamientos impartidos en Circular 55 del 4 -09-2024 Prevención, identificación y atención del acoso laboral, acoso sexual y discriminación contra las personas de los sectores sociales LGBTIQ+ en el ámbito laboral. Numerales 7, 8, 9, 10, , Circular 70 del 25-10-2024 Acciones de P&amp;P en salud mental frente a su actividad y condiciones de trabajo?
2. ¿Se han incorporado en los procedimientos internos las orientaciones y criterios definidos en Circular 55 del 4 -09-2024 Prevención, identificación y atención del acoso laboral, acoso sexual y discriminación contra las personas de los sectores sociales LGBTIQ+ en el ámbito laboral. Numerales 7, 8, 9, 10, , Circular 70 del 25-10-2024 Acciones de P&amp;P en salud mental?
3. ¿Existe evidencia de comunicación interna (correos, circulares, actas) sobre el contenido de Circular 55 del 4 -09-2024 Prevención, identificación y atención del acoso laboral, acoso sexual y discriminación contra las personas de los sectores sociales LGBTIQ+ en el ámbito laboral. Numerales 7, 8, 9, 10, , Circular 70 del 25-10-2024 Acciones de P&amp;P en salud mental a las áreas responsables?
4. ¿Se verifica en auditorías o revisiones internas el cumplimiento de las instrucciones dadas en Circular 55 del 4 -09-2024 Prevención, identificación y atención del acoso laboral, acoso sexual y discriminación contra las personas de los sectores sociales LGBTIQ+ en el ámbito laboral. Numerales 7, 8, 9, 10, , Circular 70 del 25-10-2024 Acciones de P&amp;P en salud mental?
5. ¿Los cambios o nuevas circulares que complementan o sustituyen a Circular 55 del 4 -09-2024 Prevención, identificación y atención del acoso laboral, acoso sexual y discriminación contra las personas de los sectores sociales LGBTIQ+ en el ámbito laboral. Numerales 7, 8, 9, 10, , Circular 70 del 25-10-2024 Acciones de P&amp;P en salud mental se actualizan oportunamente en la matriz legal?
6. ¿Se conservan registros de las decisiones tomadas a partir de Circular 55 del 4 -09-2024 Prevención, identificación y atención del acoso laboral, acoso sexual y discriminación contra las personas de los sectores sociales LGBTIQ+ en el ámbito laboral. Numerales 7, 8, 9, 10, , Circular 70 del 25-10-2024 Acciones de P&amp;P en salud mental en relación con el SG-SST?</t>
  </si>
  <si>
    <t>1. ¿La empresa conoce y ha analizado los lineamientos impartidos en Circular 70 del 25-10-2024 Acciones de P&amp;P en salud mental frente a su actividad y condiciones de trabajo?
2. ¿Se han incorporado en los procedimientos internos las orientaciones y criterios definidos en Circular 70 del 25-10-2024 Acciones de P&amp;P en salud mental?
3. ¿Existe evidencia de comunicación interna (correos, circulares, actas) sobre el contenido de Circular 70 del 25-10-2024 Acciones de P&amp;P en salud mental a las áreas responsables?
4. ¿Se verifica en auditorías o revisiones internas el cumplimiento de las instrucciones dadas en Circular 70 del 25-10-2024 Acciones de P&amp;P en salud mental?
5. ¿Los cambios o nuevas circulares que complementan o sustituyen a Circular 70 del 25-10-2024 Acciones de P&amp;P en salud mental se actualizan oportunamente en la matriz legal?
6. ¿Se conservan registros de las decisiones tomadas a partir de Circular 70 del 25-10-2024 Acciones de P&amp;P en salud mental en relación con el SG-SST?</t>
  </si>
  <si>
    <t>1. ¿El SG-SST incorpora los requisitos establecidos en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dentro de sus procedimientos, estándares y controles operativos?
2. ¿Se cuenta con documentación actualizada (procedimientos, instructivos, protocolos) que evidencie la implementación de lo definido en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3. ¿Se verifica de manera periódica el cumplimiento de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en auditorías internas, inspecciones o revisiones de la matriz legal?
4. ¿Los responsables de cada proceso conocen las obligaciones derivadas de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que les aplican y cuentan con los recursos para cumplirlas?
5. ¿Se conservan registros (informes, actas, listas de verificación, reportes) que demuestren la aplicación práctica de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en la empresa?
6. ¿Las actualizaciones o derogatorias relacionadas con Decreto 1527 del 12-12-2024, presencia de la república, Por el cual se adiciona el Título 2 a la Parte 1 del Libro 2 del Decreto 1072 de 2015 Único Reglamentario del Sector Trabajo, y se adopta la Política Pública de Trabajo Digno y Decente. Artículo 2.1.2.2.2. Promoción de empleo e ingresos dignos Línea de acción C se reflejan oportunamente en la matriz legal y en los documentos del SG-SST?</t>
  </si>
  <si>
    <t>1. ¿El SG-SST incorpora los requisitos establecidos en Decreto 0405 del 1-04-2025 Multa por despido de víctima denunciante de acoso sexual en el contexto laboral. dentro de sus procedimientos, estándares y controles operativos?
2. ¿Se cuenta con documentación actualizada (procedimientos, instructivos, protocolos) que evidencie la implementación de lo definido en Decreto 0405 del 1-04-2025 Multa por despido de víctima denunciante de acoso sexual en el contexto laboral.?
3. ¿Se verifica de manera periódica el cumplimiento de Decreto 0405 del 1-04-2025 Multa por despido de víctima denunciante de acoso sexual en el contexto laboral. en auditorías internas, inspecciones o revisiones de la matriz legal?
4. ¿Los responsables de cada proceso conocen las obligaciones derivadas de Decreto 0405 del 1-04-2025 Multa por despido de víctima denunciante de acoso sexual en el contexto laboral. que les aplican y cuentan con los recursos para cumplirlas?
5. ¿Se conservan registros (informes, actas, listas de verificación, reportes) que demuestren la aplicación práctica de Decreto 0405 del 1-04-2025 Multa por despido de víctima denunciante de acoso sexual en el contexto laboral. en la empresa?
6. ¿Las actualizaciones o derogatorias relacionadas con Decreto 0405 del 1-04-2025 Multa por despido de víctima denunciante de acoso sexual en el contexto laboral. se reflejan oportunamente en la matriz legal y en los documentos del SG-SST?</t>
  </si>
  <si>
    <t>1. ¿El SG-SST incorpora los requisitos establecidos en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dentro de sus procedimientos, estándares y controles operativos?
2. ¿Se cuenta con documentación actualizada (procedimientos, instructivos, protocolos) que evidencie la implementación de lo definido en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3. ¿Se verifica de manera periódica el cumplimiento de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en auditorías internas, inspecciones o revisiones de la matriz legal?
4. ¿Los responsables de cada proceso conocen las obligaciones derivadas de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que les aplican y cuentan con los recursos para cumplirlas?
5. ¿Se conservan registros (informes, actas, listas de verificación, reportes) que demuestren la aplicación práctica de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en la empresa?
6. ¿Las actualizaciones o derogatorias relacionadas con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se reflejan oportunamente en la matriz legal y en los documentos del SG-SST?</t>
  </si>
  <si>
    <t>1. ¿La empresa ha identificado y documentado en la matriz legal las obligaciones derivadas de Ley 2466 de 2025, (Reforma Laboral). Amplia modificación al CST (jornada, recargos, tercerización, teletrabajo, acoso, estabilidad, etc.). Impacta contratos, reglamento interno, comités, y gestión de horas. y su relación con el SG-SST?
2. ¿Las políticas, procedimientos y programas del SG-SST incorporan de forma explícita los lineamientos establecidos en Ley 2466 de 2025, (Reforma Laboral). Amplia modificación al CST (jornada, recargos, tercerización, teletrabajo, acoso, estabilidad, etc.). Impacta contratos, reglamento interno, comités, y gestión de horas.?
3. ¿Existe evidencia documental (actas, comunicaciones, registros, contratos, entre otros) que demuestre la aplicación de Ley 2466 de 2025, (Reforma Laboral). Amplia modificación al CST (jornada, recargos, tercerización, teletrabajo, acoso, estabilidad, etc.). Impacta contratos, reglamento interno, comités, y gestión de horas. en la organización?
4. ¿Se ha socializado con trabajadores, líderes y responsables del SG-SST el contenido y alcance de Ley 2466 de 2025, (Reforma Laboral). Amplia modificación al CST (jornada, recargos, tercerización, teletrabajo, acoso, estabilidad, etc.). Impacta contratos, reglamento interno, comités, y gestión de horas. y sus implicaciones en seguridad y salud en el trabajo?
5. ¿Se realiza seguimiento periódico al cumplimiento de Ley 2466 de 2025, (Reforma Laboral). Amplia modificación al CST (jornada, recargos, tercerización, teletrabajo, acoso, estabilidad, etc.). Impacta contratos, reglamento interno, comités, y gestión de horas., dejando soportes de las revisiones y acciones de mejora cuando se identifican brechas?
6. ¿Los cambios o reformas a Ley 2466 de 2025, (Reforma Laboral). Amplia modificación al CST (jornada, recargos, tercerización, teletrabajo, acoso, estabilidad, etc.). Impacta contratos, reglamento interno, comités, y gestión de horas. se registran oportunamente en la matriz legal y se comunican a los procesos impactados?</t>
  </si>
  <si>
    <t>1. ¿La empresa conoce y ha analizado los lineamientos impartidos en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frente a su actividad y condiciones de trabajo?
2. ¿Se han incorporado en los procedimientos internos las orientaciones y criterios definidos en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3. ¿Existe evidencia de comunicación interna (correos, circulares, actas) sobre el contenido de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a las áreas responsables?
4. ¿Se verifica en auditorías o revisiones internas el cumplimiento de las instrucciones dadas en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5. ¿Los cambios o nuevas circulares que complementan o sustituyen a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se actualizan oportunamente en la matriz legal?
6. ¿Se conservan registros de las decisiones tomadas a partir de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en relación con el SG-SST?</t>
  </si>
  <si>
    <t>Manipulación sustancias químicas</t>
  </si>
  <si>
    <t>1. ¿La empresa ha identificado y documentado en la matriz legal las obligaciones derivadas de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y su relación con el SG-SST?
2. ¿Las políticas, procedimientos y programas del SG-SST incorporan de forma explícita los lineamientos establecidos en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3. ¿Existe evidencia documental (actas, comunicaciones, registros, contratos, entre otros) que demuestre la aplicación de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en la organización?
4. ¿Se ha socializado con trabajadores, líderes y responsables del SG-SST el contenido y alcance de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y sus implicaciones en seguridad y salud en el trabajo?
5. ¿Se realiza seguimiento periódico al cumplimiento de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dejando soportes de las revisiones y acciones de mejora cuando se identifican brechas?
6. ¿Los cambios o reformas a Ley 55/93 Congreso de la República Por medio de la cual se aprueba el "Convenio No. 170 y la Recomendación número 177 sobre la Seguridad en la Utilización de los Productos Químicos en el trabajo art 1-3. Se requieren estándares de control para el riesgo químico en todas las etapas del ciclo de vida. se registran oportunamente en la matriz legal y se comunican a los procesos impactados?</t>
  </si>
  <si>
    <t>1. ¿El SG-SST incorpora los requisitos establecidos en Decreto 1609 de 2002 (Art. 11 y 12) dentro de sus procedimientos, estándares y controles operativos?
2. ¿Se cuenta con documentación actualizada (procedimientos, instructivos, protocolos) que evidencie la implementación de lo definido en Decreto 1609 de 2002 (Art. 11 y 12)?
3. ¿Se verifica de manera periódica el cumplimiento de Decreto 1609 de 2002 (Art. 11 y 12) en auditorías internas, inspecciones o revisiones de la matriz legal?
4. ¿Los responsables de cada proceso conocen las obligaciones derivadas de Decreto 1609 de 2002 (Art. 11 y 12) que les aplican y cuentan con los recursos para cumplirlas?
5. ¿Se conservan registros (informes, actas, listas de verificación, reportes) que demuestren la aplicación práctica de Decreto 1609 de 2002 (Art. 11 y 12) en la empresa?
6. ¿Las actualizaciones o derogatorias relacionadas con Decreto 1609 de 2002 (Art. 11 y 12) se reflejan oportunamente en la matriz legal y en los documentos del SG-SST?</t>
  </si>
  <si>
    <t>1. ¿El SG-SST incorpora los requisitos establecidos en Decreto 4741 de 2005 (Art. 8,9 y 10). Resolución 1013 25-03-2008 se adoptan la Guía de atención integral de Seguridad y Salud en el Trabajo (GATISST) dentro de sus procedimientos, estándares y controles operativos?
2. ¿Se cuenta con documentación actualizada (procedimientos, instructivos, protocolos) que evidencie la implementación de lo definido en Decreto 4741 de 2005 (Art. 8,9 y 10). Resolución 1013 25-03-2008 se adoptan la Guía de atención integral de Seguridad y Salud en el Trabajo (GATISST)?
3. ¿Se verifica de manera periódica el cumplimiento de Decreto 4741 de 2005 (Art. 8,9 y 10). Resolución 1013 25-03-2008 se adoptan la Guía de atención integral de Seguridad y Salud en el Trabajo (GATISST) en auditorías internas, inspecciones o revisiones de la matriz legal?
4. ¿Los responsables de cada proceso conocen las obligaciones derivadas de Decreto 4741 de 2005 (Art. 8,9 y 10). Resolución 1013 25-03-2008 se adoptan la Guía de atención integral de Seguridad y Salud en el Trabajo (GATISST) que les aplican y cuentan con los recursos para cumplirlas?
5. ¿Se conservan registros (informes, actas, listas de verificación, reportes) que demuestren la aplicación práctica de Decreto 4741 de 2005 (Art. 8,9 y 10). Resolución 1013 25-03-2008 se adoptan la Guía de atención integral de Seguridad y Salud en el Trabajo (GATISST) en la empresa?
6. ¿Las actualizaciones o derogatorias relacionadas con Decreto 4741 de 2005 (Art. 8,9 y 10). Resolución 1013 25-03-2008 se adoptan la Guía de atención integral de Seguridad y Salud en el Trabajo (GATISST) se reflejan oportunamente en la matriz legal y en los documentos del SG-SST?</t>
  </si>
  <si>
    <t>1. Implementar el SGA para clasificación y etiquetado de químicos (Res. 1890/2025).
2. Mantener FDS vigentes y accesibles para cada sustancia y mezcla.
3. Etiquetar recipientes y áreas conforme a pictogramas y frases H/P.
4. Capacitar en interpretación de SGA y respuesta a emergencias.
5. Establecer controles de ingeniería y EPP para manipulación segura.
6. Verificar registros documentales de cumplimiento del requisito.
7. Confirmar actualización de procedimientos y formatos relacionados.
8. Revisar trazabilidad de acciones preventivas y correctivas.</t>
  </si>
  <si>
    <t>1. Aplicar estándares mínimos según tamaño y riesgo (Res. 0312/2019).
2. Realizar autoevaluación anual y conservar el formato oficial.
3. Formular e implementar plan de mejora con responsables, fechas e indicadores.
4. Mantener evidencias (actas, capacitaciones, inspecciones, indicadores).
5. Verificar registros documentales de cumplimiento del requisito.
6. Confirmar actualización de procedimientos y formatos relacionados.
7. Revisar trazabilidad de acciones preventivas y correctivas.</t>
  </si>
  <si>
    <t>1. ¿La empresa ha identificado los requisitos específicos de Resolución 773 de 7-04-2021 Min trabajo Acciones que deben desarrollar los empleadores para aplicar el SGA (art. 21) que aplican a su actividad económica y tamaño?
2. ¿Se dispone de procedimientos, instructivos o formatos que permitan cumplir con las exigencias técnicas y administrativas de Resolución 773 de 7-04-2021 Min trabajo Acciones que deben desarrollar los empleadores para aplicar el SGA (art. 21)?
3. ¿Existen registros (informes, actas, listados, certificados, reportes en plataformas) que evidencien el cumplimiento de Resolución 773 de 7-04-2021 Min trabajo Acciones que deben desarrollar los empleadores para aplicar el SGA (art. 21)?
4. ¿Los responsables del SG-SST realizan seguimiento periódico a los ítems de Resolución 773 de 7-04-2021 Min trabajo Acciones que deben desarrollar los empleadores para aplicar el SGA (art. 21) incluidos en la matriz legal y documentan los resultados?
5. ¿Se han comunicado los requisitos de Resolución 773 de 7-04-2021 Min trabajo Acciones que deben desarrollar los empleadores para aplicar el SGA (art. 21) a los trabajadores, contratistas y proveedores que se ven impactados por esta norma?
6. ¿Las no conformidades asociadas al cumplimiento de Resolución 773 de 7-04-2021 Min trabajo Acciones que deben desarrollar los empleadores para aplicar el SGA (art. 21) generan acciones correctivas o de mejora con responsables y fechas definidas?</t>
  </si>
  <si>
    <t>1. ¿La empresa ha identificado los requisitos específicos de Resolución 2851 del 22-08-2023 Revoca la R- 3032 Guía para la identificación de actividades de alto riesgo definidas en el art 2 del D. 2090 de 2002 que aplican a su actividad económica y tamaño?
2. ¿Se dispone de procedimientos, instructivos o formatos que permitan cumplir con las exigencias técnicas y administrativas de Resolución 2851 del 22-08-2023 Revoca la R- 3032 Guía para la identificación de actividades de alto riesgo definidas en el art 2 del D. 2090 de 2002?
3. ¿Existen registros (informes, actas, listados, certificados, reportes en plataformas) que evidencien el cumplimiento de Resolución 2851 del 22-08-2023 Revoca la R- 3032 Guía para la identificación de actividades de alto riesgo definidas en el art 2 del D. 2090 de 2002?
4. ¿Los responsables del SG-SST realizan seguimiento periódico a los ítems de Resolución 2851 del 22-08-2023 Revoca la R- 3032 Guía para la identificación de actividades de alto riesgo definidas en el art 2 del D. 2090 de 2002 incluidos en la matriz legal y documentan los resultados?
5. ¿Se han comunicado los requisitos de Resolución 2851 del 22-08-2023 Revoca la R- 3032 Guía para la identificación de actividades de alto riesgo definidas en el art 2 del D. 2090 de 2002 a los trabajadores, contratistas y proveedores que se ven impactados por esta norma?
6. ¿Las no conformidades asociadas al cumplimiento de Resolución 2851 del 22-08-2023 Revoca la R- 3032 Guía para la identificación de actividades de alto riesgo definidas en el art 2 del D. 2090 de 2002 generan acciones correctivas o de mejora con responsables y fechas definidas?</t>
  </si>
  <si>
    <t>Gases  y Material particulado</t>
  </si>
  <si>
    <t>1. ¿La empresa ha identificado los requisitos específicos de Resolución 07/11 controles al cristalito en el movimientos de tierra que aplican a su actividad económica y tamaño?
2. ¿Se dispone de procedimientos, instructivos o formatos que permitan cumplir con las exigencias técnicas y administrativas de Resolución 07/11 controles al cristalito en el movimientos de tierra?
3. ¿Existen registros (informes, actas, listados, certificados, reportes en plataformas) que evidencien el cumplimiento de Resolución 07/11 controles al cristalito en el movimientos de tierra?
4. ¿Los responsables del SG-SST realizan seguimiento periódico a los ítems de Resolución 07/11 controles al cristalito en el movimientos de tierra incluidos en la matriz legal y documentan los resultados?
5. ¿Se han comunicado los requisitos de Resolución 07/11 controles al cristalito en el movimientos de tierra a los trabajadores, contratistas y proveedores que se ven impactados por esta norma?
6. ¿Las no conformidades asociadas al cumplimiento de Resolución 07/11 controles al cristalito en el movimientos de tierra generan acciones correctivas o de mejora con responsables y fechas definidas?</t>
  </si>
  <si>
    <t>1. ¿El SG-SST incorpora los requisitos establecidos en Decreto 1347 del 26-10-2021 Por el cual se adiciona el Capítulo 12 al Título 4 de la Parte 2 del Libro 2 del Decreto 1072 de 2015, Decreto Único Reglamentario del Sector Trabajo, para adoptar el Programa de Prevención de Accidentes Mayores - PPAM (ARTÍCULO 2.2.4.12.6) dentro de sus procedimientos, estándares y controles operativos?
2. ¿Se cuenta con documentación actualizada (procedimientos, instructivos, protocolos) que evidencie la implementación de lo definido en Decreto 1347 del 26-10-2021 Por el cual se adiciona el Capítulo 12 al Título 4 de la Parte 2 del Libro 2 del Decreto 1072 de 2015, Decreto Único Reglamentario del Sector Trabajo, para adoptar el Programa de Prevención de Accidentes Mayores - PPAM (ARTÍCULO 2.2.4.12.6)?
3. ¿Se verifica de manera periódica el cumplimiento de Decreto 1347 del 26-10-2021 Por el cual se adiciona el Capítulo 12 al Título 4 de la Parte 2 del Libro 2 del Decreto 1072 de 2015, Decreto Único Reglamentario del Sector Trabajo, para adoptar el Programa de Prevención de Accidentes Mayores - PPAM (ARTÍCULO 2.2.4.12.6) en auditorías internas, inspecciones o revisiones de la matriz legal?
4. ¿Los responsables de cada proceso conocen las obligaciones derivadas de Decreto 1347 del 26-10-2021 Por el cual se adiciona el Capítulo 12 al Título 4 de la Parte 2 del Libro 2 del Decreto 1072 de 2015, Decreto Único Reglamentario del Sector Trabajo, para adoptar el Programa de Prevención de Accidentes Mayores - PPAM (ARTÍCULO 2.2.4.12.6) que les aplican y cuentan con los recursos para cumplirlas?
5. ¿Se conservan registros (informes, actas, listas de verificación, reportes) que demuestren la aplicación práctica de Decreto 1347 del 26-10-2021 Por el cual se adiciona el Capítulo 12 al Título 4 de la Parte 2 del Libro 2 del Decreto 1072 de 2015, Decreto Único Reglamentario del Sector Trabajo, para adoptar el Programa de Prevención de Accidentes Mayores - PPAM (ARTÍCULO 2.2.4.12.6) en la empresa?
6. ¿Las actualizaciones o derogatorias relacionadas con Decreto 1347 del 26-10-2021 Por el cual se adiciona el Capítulo 12 al Título 4 de la Parte 2 del Libro 2 del Decreto 1072 de 2015, Decreto Único Reglamentario del Sector Trabajo, para adoptar el Programa de Prevención de Accidentes Mayores - PPAM (ARTÍCULO 2.2.4.12.6) se reflejan oportunamente en la matriz legal y en los documentos del SG-SST?</t>
  </si>
  <si>
    <t>1. Formalizar política de SST firmada por alta dirección.
2. Ejecutar ciclo PHVA en todo el SG-SST con metas y recursos.
3. Designar responsable del SG-SST con licencia vigente.
4. Realizar evaluaciones inicial, anual y de seguimiento del SG-SST.
5. Investigar incidentes/accidentes y ejecutar acciones correctivas.
6. Mantener plan anual de trabajo y seguimiento.
7. Verificar registros documentales de cumplimiento del requisito.
8. Confirmar actualización de procedimientos y formatos relacionados.
9. Revisar trazabilidad de acciones preventivas y correctivas.</t>
  </si>
  <si>
    <t>1. ¿La empresa ha identificado los requisitos específicos de Resolución 5492 3-12-2024 Por la cual se reglamenta el SG-SST Para la preve de acci mayores en las isntalaciones clasificadas que aplican a su actividad económica y tamaño?
2. ¿Se dispone de procedimientos, instructivos o formatos que permitan cumplir con las exigencias técnicas y administrativas de Resolución 5492 3-12-2024 Por la cual se reglamenta el SG-SST Para la preve de acci mayores en las isntalaciones clasificadas?
3. ¿Existen registros (informes, actas, listados, certificados, reportes en plataformas) que evidencien el cumplimiento de Resolución 5492 3-12-2024 Por la cual se reglamenta el SG-SST Para la preve de acci mayores en las isntalaciones clasificadas?
4. ¿Los responsables del SG-SST realizan seguimiento periódico a los ítems de Resolución 5492 3-12-2024 Por la cual se reglamenta el SG-SST Para la preve de acci mayores en las isntalaciones clasificadas incluidos en la matriz legal y documentan los resultados?
5. ¿Se han comunicado los requisitos de Resolución 5492 3-12-2024 Por la cual se reglamenta el SG-SST Para la preve de acci mayores en las isntalaciones clasificadas a los trabajadores, contratistas y proveedores que se ven impactados por esta norma?
6. ¿Las no conformidades asociadas al cumplimiento de Resolución 5492 3-12-2024 Por la cual se reglamenta el SG-SST Para la preve de acci mayores en las isntalaciones clasificadas generan acciones correctivas o de mejora con responsables y fechas definidas?</t>
  </si>
  <si>
    <t>1. ¿La empresa ha identificado los requisitos específicos de Resolución 1890 del 2-05-2025 Reglamenta el procedimiento para el registro de incidentes y reporte de accidentes mayores" tercera resolución reglamentaria del Decreto 1347 de 2021 relacionada con el Programa de Prevención de Accidente Mayor que aplican a su actividad económica y tamaño?
2. ¿Se dispone de procedimientos, instructivos o formatos que permitan cumplir con las exigencias técnicas y administrativas de Resolución 1890 del 2-05-2025 Reglamenta el procedimiento para el registro de incidentes y reporte de accidentes mayores" tercera resolución reglamentaria del Decreto 1347 de 2021 relacionada con el Programa de Prevención de Accidente Mayor?
3. ¿Existen registros (informes, actas, listados, certificados, reportes en plataformas) que evidencien el cumplimiento de Resolución 1890 del 2-05-2025 Reglamenta el procedimiento para el registro de incidentes y reporte de accidentes mayores" tercera resolución reglamentaria del Decreto 1347 de 2021 relacionada con el Programa de Prevención de Accidente Mayor?
4. ¿Los responsables del SG-SST realizan seguimiento periódico a los ítems de Resolución 1890 del 2-05-2025 Reglamenta el procedimiento para el registro de incidentes y reporte de accidentes mayores" tercera resolución reglamentaria del Decreto 1347 de 2021 relacionada con el Programa de Prevención de Accidente Mayor incluidos en la matriz legal y documentan los resultados?
5. ¿Se han comunicado los requisitos de Resolución 1890 del 2-05-2025 Reglamenta el procedimiento para el registro de incidentes y reporte de accidentes mayores" tercera resolución reglamentaria del Decreto 1347 de 2021 relacionada con el Programa de Prevención de Accidente Mayor a los trabajadores, contratistas y proveedores que se ven impactados por esta norma?
6. ¿Las no conformidades asociadas al cumplimiento de Resolución 1890 del 2-05-2025 Reglamenta el procedimiento para el registro de incidentes y reporte de accidentes mayores" tercera resolución reglamentaria del Decreto 1347 de 2021 relacionada con el Programa de Prevención de Accidente Mayor generan acciones correctivas o de mejora con responsables y fechas definidas?</t>
  </si>
  <si>
    <t>IDENTIFICACION OTROS REQUISITOS</t>
  </si>
  <si>
    <t xml:space="preserve">Versión: 
Fecha: </t>
  </si>
  <si>
    <t>ENTIDAD</t>
  </si>
  <si>
    <t xml:space="preserve">OTROS REQUISITOS (VOLUNTARIOS)
 QUE LA EMPRESA HAYA SUSCRITO </t>
  </si>
  <si>
    <t>RESPONSABLE DE COORDINAR  
CUMPLIMIENTO Y/O ENTREGA 
DE INFORME</t>
  </si>
  <si>
    <t xml:space="preserve">DESCRIPCION </t>
  </si>
  <si>
    <t>Evaluación 2025</t>
  </si>
  <si>
    <t>Evaluación 2026</t>
  </si>
  <si>
    <t>Puntaje Máximo</t>
  </si>
  <si>
    <t>Puntaje obtenido</t>
  </si>
  <si>
    <t>% Aplicación</t>
  </si>
  <si>
    <t>ICONTEC</t>
  </si>
  <si>
    <t>NTC  1461 higiene y seguridad</t>
  </si>
  <si>
    <t>SST</t>
  </si>
  <si>
    <t xml:space="preserve">Colores y señales de seguridad. establece definiciones, colores de seguridad,  colores de contraste, diseño de símbolos gráficos y clasificación de señales. </t>
  </si>
  <si>
    <t xml:space="preserve"> NTC 2885 Extintores portátiles</t>
  </si>
  <si>
    <t>Aplica a la selección, instalación, inspección, mantenimiento y ensayo de  equipo portátil para extinción de incendio.</t>
  </si>
  <si>
    <t>ICONTEC NTC 3458 higiene y seguridad</t>
  </si>
  <si>
    <t>Identificación de tuberías y servicios. contiene definiciones, clasificación por colores, designación y precauciones.</t>
  </si>
  <si>
    <t>NTC  6072</t>
  </si>
  <si>
    <t>CENTROS DE FORMACIÓN Y ENTRENAMIENTO EN PROTECCIÓN CONTRA CAÍDAS PARA TRABAJO EN ALTURAS. REQUISITOS</t>
  </si>
  <si>
    <t>NTC 3701</t>
  </si>
  <si>
    <t>Guía para la clasificación, registro, y estadísticas de accidentes del trabajo y enfermedades profesionales</t>
  </si>
  <si>
    <t>GTC45</t>
  </si>
  <si>
    <t>GUÍA PARA LA IDENTIFICACIÓN DE LOS PELIGROS Y LA VALORACIÓN DE LOS RIESGOS EN SEGURIDAD Y SALUD OCUPACIONAL</t>
  </si>
  <si>
    <t xml:space="preserve"> NTC 5807 </t>
  </si>
  <si>
    <t xml:space="preserve">Cintas retrorreflectivas para uso en vehículos automotores y sus
remolques que se fabriquen, importen o comercialicen en Colombia </t>
  </si>
  <si>
    <t>ANSI</t>
  </si>
  <si>
    <t>ANSI Z 89.1 Cabeza, ANSI Z-87 visual, ANSI Z-3.19  auditiva y las de necesidad empresa</t>
  </si>
  <si>
    <t xml:space="preserve">Normas Nacionales Americanas Para la protección industrial </t>
  </si>
  <si>
    <t>ISO</t>
  </si>
  <si>
    <t>Sistemas de gestión de la seguridad y salud en el trabajo. Requisitos con orientación para su uso</t>
  </si>
  <si>
    <t>31000/2011</t>
  </si>
  <si>
    <t>gestión del riesgo</t>
  </si>
  <si>
    <t>9001/15</t>
  </si>
  <si>
    <t>Sistema de gestión de la calidad</t>
  </si>
  <si>
    <t>14001/15</t>
  </si>
  <si>
    <t>Sistema de gestión ambiental</t>
  </si>
  <si>
    <t>NOTA: La calificación de estos requisitos no afecta en indicador de la evaluación de los requisitos legales de SST</t>
  </si>
  <si>
    <t>Decreto 1072 de 2015 Artículo 2.2.4.11.5. Criterio de proporcionalidad y razonabilidad para la cuantía de
la sanción a los empleadores. En unidades de valor tributario UVT (49.799)</t>
  </si>
  <si>
    <t>TIPO DE EMPRESA</t>
  </si>
  <si>
    <t>NÚMERO DE TRABAJADORES</t>
  </si>
  <si>
    <t>Activos totales en número de UVT</t>
  </si>
  <si>
    <t>Ley 1562 - Art. 13, inciso 2</t>
  </si>
  <si>
    <t>Ley 1562 - Art. 30
1. Verificar registros documentales de cumplimiento del requisito.
2. Confirmar actualización de procedimientos y formatos relacionados.
3. Revisar trazabilidad de acciones preventivas y correctivas.</t>
  </si>
  <si>
    <t>Ley 1562 - Art. 13, inciso 4</t>
  </si>
  <si>
    <t>Incumplimiento de las normas de SST y riesgos laborales 
(26,31 a 13, 156,5 UVT) Vs $</t>
  </si>
  <si>
    <t>Omisión en el reporte de Accidentes de Trabajo y/o Enfermedad Laboral
(de 26,31 a 26,313,02 UVT)
1. Verificar registros documentales de cumplimiento del requisito.
2. Confirmar actualización de procedimientos y formatos relacionados.
3. Revisar trazabilidad de acciones preventivas y correctivas.</t>
  </si>
  <si>
    <t>Accidentes de Trabajo que ocasionen la muerte del trabajador, por incumplimiento de las normas de Seguridad y Salud en el Trabajo y Riesgos Laborales
(de 526,26 a 26,313,02 UVT)</t>
  </si>
  <si>
    <t>MICRO</t>
  </si>
  <si>
    <t>Hasta 10</t>
  </si>
  <si>
    <t>&lt; 13.156,51 UVT</t>
  </si>
  <si>
    <t>Valor de multas en UVT y  en pesos</t>
  </si>
  <si>
    <t>De 26,31 hasta 131,57</t>
  </si>
  <si>
    <t>De 26,31 hasta 526, 26
1. Verificar registros documentales de cumplimiento del requisito.
2. Confirmar actualización de procedimientos y formatos relacionados.
3. Revisar trazabilidad de acciones preventivas y correctivas.</t>
  </si>
  <si>
    <t>De  526, 26 hasta 631,51</t>
  </si>
  <si>
    <t xml:space="preserve">  $  1.310.000  a 6. 552.000</t>
  </si>
  <si>
    <t xml:space="preserve"> $   1.310.000 hasta  26.207.000
1. Verificar registros documentales de cumplimiento del requisito.
2. Confirmar actualización de procedimientos y formatos relacionados.
3. Revisar trazabilidad de acciones preventivas y correctivas.</t>
  </si>
  <si>
    <t xml:space="preserve"> $   26.207.000 hasta 31.448.600</t>
  </si>
  <si>
    <t xml:space="preserve">PEQUEÑA </t>
  </si>
  <si>
    <t>De 11 a 50</t>
  </si>
  <si>
    <t>13.182,82 a
&lt; 131.565, 10 UVT</t>
  </si>
  <si>
    <t>De 157, 88 hasta 526,26</t>
  </si>
  <si>
    <t>De 552,57 hasta 1.315,65
1. Verificar registros documentales de cumplimiento del requisito.
2. Confirmar actualización de procedimientos y formatos relacionados.
3. Revisar trazabilidad de acciones preventivas y correctivas.</t>
  </si>
  <si>
    <t>De 657, 82 hasta 3.946,95</t>
  </si>
  <si>
    <t>$  7.862.300 hasta  26.207.000</t>
  </si>
  <si>
    <t xml:space="preserve"> $   27.517.400 hasta 65.518.100
1. Verificar registros documentales de cumplimiento del requisito.
2. Confirmar actualización de procedimientos y formatos relacionados.
3. Revisar trazabilidad de acciones preventivas y correctivas.</t>
  </si>
  <si>
    <t xml:space="preserve"> $   32.758.800 hasta 196.554.200</t>
  </si>
  <si>
    <t xml:space="preserve">MEDIANA </t>
  </si>
  <si>
    <t>De 51 a 200</t>
  </si>
  <si>
    <t>100.000 A 610.000 UVT</t>
  </si>
  <si>
    <t>De 552, 57 hasta 2.631,30</t>
  </si>
  <si>
    <t>De 1,341.96 hasta 2.631,30
1. Verificar registros documentales de cumplimiento del requisito.
2. Confirmar actualización de procedimientos y formatos relacionados.
3. Revisar trazabilidad de acciones preventivas y correctivas.</t>
  </si>
  <si>
    <t>De 3,973.26 hasta 10,525.21</t>
  </si>
  <si>
    <t>$  27.517.400 hasta 131.036.100</t>
  </si>
  <si>
    <t xml:space="preserve"> $   66.828.300 hasta 131.036.100
1. Verificar registros documentales de cumplimiento del requisito.
2. Confirmar actualización de procedimientos y formatos relacionados.
3. Revisar trazabilidad de acciones preventivas y correctivas.</t>
  </si>
  <si>
    <t xml:space="preserve"> $   197.864.400 hasta 524.144.900</t>
  </si>
  <si>
    <t xml:space="preserve">GRAN </t>
  </si>
  <si>
    <t>De 201 o más</t>
  </si>
  <si>
    <t>&gt; 610.000 UVT</t>
  </si>
  <si>
    <t>De 2.657,61 hasta 13. 156, 51</t>
  </si>
  <si>
    <t>De 2,657.61 hasta 26.313,01
1. Verificar registros documentales de cumplimiento del requisito.
2. Confirmar actualización de procedimientos y formatos relacionados.
3. Revisar trazabilidad de acciones preventivas y correctivas.</t>
  </si>
  <si>
    <t>De 10,551.52 hasta 26.313,02</t>
  </si>
  <si>
    <t>$  132.346.300 hasta 655.181.000</t>
  </si>
  <si>
    <t xml:space="preserve"> $  132.346.300 hasta 131.036.100
1. Verificar registros documentales de cumplimiento del requisito.
2. Confirmar actualización de procedimientos y formatos relacionados.
3. Revisar trazabilidad de acciones preventivas y correctivas.</t>
  </si>
  <si>
    <t xml:space="preserve"> $   526.455.100 hasta 131.036.100</t>
  </si>
  <si>
    <t>CONTROL DE CAMBIOS HISTORIAL DE REVISIÓN Y ACTUALIZACIÓN REQUISITOS LEGALES EN SST Art. 2.2.4.6.26. Gestión del cambio y Art. 2.2.4.6.34. Mejora continua. numeral 7</t>
  </si>
  <si>
    <t>FECHA DE REVISION Y/O ACTUALIZACIÓN</t>
  </si>
  <si>
    <t>LEGISLACIÓN INCLUIDA</t>
  </si>
  <si>
    <t>CLASIFICADOR</t>
  </si>
  <si>
    <t>Criterios para evaluar el cumplimiento</t>
  </si>
  <si>
    <t>NOMBRE Y CARGO DE QUIEN REALIZÓ LA REVISIÓN
1. Verificar registros documentales de cumplimiento del requisito.
2. Confirmar actualización de procedimientos y formatos relacionados.
3. Revisar trazabilidad de acciones preventivas y correctivas.</t>
  </si>
  <si>
    <t>Circular No. 09 22-02-2025 Mintarbajo Registro anual de EM, autoevaluación</t>
  </si>
  <si>
    <t>Requisitos Generales
 SG-SST</t>
  </si>
  <si>
    <t>Hay evidencia del reporte anual del plan de mejoramiento  de acuerdo a la autoevaluación de los estándares mínimos al ministerio?</t>
  </si>
  <si>
    <t>Juan Narvez responsable SG-SST con el acompañamiento del abogado ALEJANDRO VALENCIA ORTIZ Abogado de talento consultores
1. Verificar registros documentales de cumplimiento del requisito.
2. Confirmar actualización de procedimientos y formatos relacionados.
3. Revisar trazabilidad de acciones preventivas y correctivas.</t>
  </si>
  <si>
    <t>Resolución  467 del 25-03-2025 Minsalud. Por medio de la cual se modifica la Resolución 2388 de 2016, “Por la cual se unifican las reglas para el recaudo de aportes al Sistema de Seguridad Social Integral y Parafiscales"</t>
  </si>
  <si>
    <t>REQUISITOS GENERALES
Afilaciones</t>
  </si>
  <si>
    <t xml:space="preserve">Esta modificación busca actualizar y ajustar la estructura de PILA
para alinearlo con la normativa del sistema de pensiones, de acuerdo con los cambios introducidos por la Ley 2381 de 2024 (Reforma Pensional): art 1 "Aportes al Sistema General de Pensiones" y “Novedades" se incorpora un
nuevo tipo de cotizante denominado "Contratante", dirigido a las entidades que contratan trabajadores independientes </t>
  </si>
  <si>
    <t>Art 1 y 2,  adoptar el Formulario Único de Afiliación y Reporte de Novedades al Sistema General de Riesgos Laborales</t>
  </si>
  <si>
    <t>Decreto 0405 del 1-04-2025 Presidencia de la república, Por el cual se adiciona el capítulo 7 al Título 9 de la Parte 2 del Libro 2 del Decreto Único Reglamentario del Sector Trabajo 1072 de 2015, Multa por despido de víctima denunciante de acoso sexual en el contexto laboral.</t>
  </si>
  <si>
    <t xml:space="preserve">PSICOSOCIAL 
</t>
  </si>
  <si>
    <t>Artículo 2.2.9.7.3. Razonabilidad.  Para aplicar la sanción a una unidad de explotación económica o a varias unidades dependientes económicamente de una misma persona natural o jurídica (empresa) se aplicará la tabla citada en esta misma norma</t>
  </si>
  <si>
    <t>Resolución 624 del 8-04-2025 Minsalud adopta el Manual para la señalización de los ambientes 100% libres
de humo de tabaco y aerosoles emitidos por sus sucedáneos e imitadores</t>
  </si>
  <si>
    <t>REQUISITOS GENERALES
Sustancias SPA</t>
  </si>
  <si>
    <t>Art 2, Parágrafo transitorio: Los lugares que ya tengan expuesta la señalización tendrán un plazo de seis (6) meses a partir de la expedición de esta resolución para realizar las adecuaciones y ajustes correspondientes de acuerdo con el manual adoptado. 3. ¿Se ha instalado señalización de "Respire con tranquilidad" y destaca que el espacio donde se encuentra la señalización es un lugar protegido y libre de emisiones derivadas de productos de tabaco, sus derivados, sucedáneos e imitadores.?</t>
  </si>
  <si>
    <t>Resolución 691 del 16/04/2025 Minsalud Por medio de la cual se declara la emergencia sanitaria en todo el territorio nacional por el brote causado por el virus de la fiebre amarilla y se adoptan medidas para su
prevención y control</t>
  </si>
  <si>
    <t>BIOLÓGICO</t>
  </si>
  <si>
    <t>ARTÍCULO 5. CULTURA DE PREVENCIÓN. Las instituciones públicas y privadas, la sociedad civil y la ciudadanía en general deben coadyuvar en la implementación de la presente norma y de las disposiciones complementarias que se emitan. En desarrollo del principio de solidaridad y de los postulados de respeto al otro, se deberá adoptar una cultura de prevención vital y minimización del riesgo.</t>
  </si>
  <si>
    <t>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t>
  </si>
  <si>
    <t>numeral 1. RESPONSABILIDADES DE LOS EMPLEADORES PÚBLICOS Y PRIVADOS.........
10. Implementar acciones de vigilancia de la salud en el trabajo, para el control del brote del virus de la fiebre amarilla, el ausentismo laboral por enfermedad, la protección y promoción de la salud de las y los trabajadores, asegurando espacios seguros y saludables.</t>
  </si>
  <si>
    <t>REQUISITOS GENERALES
Capacitaciones</t>
  </si>
  <si>
    <t>Se mantine la vigencia del curso de 50/20 horas por 3 años, establece el contenido de módulos y temáticas así como la intensidad horario de cada uno</t>
  </si>
  <si>
    <t xml:space="preserve">Resolución 1843 del 29-04-2025 Mintrabajo regula la práctica de los exámenes médicos ocupacionales, derogó las resoluciones 2346/07, 1918/09, 1075/92 y la 4050/94 </t>
  </si>
  <si>
    <t>REQUISITOS GENERALES
Vigilancia epidemiológica: Historia Clínica - Evaluaciones médicas</t>
  </si>
  <si>
    <t xml:space="preserve">Unifica los tipos de exámenes médicos acorde las actividades, 
art. 5 responsabilidad de los empleadores,  Puntualmente en el literal h. Implementar y ejecutar un programa de páusas activas dentro de la jornada laboral, art.7 responsabilidad de los trabajadores , art 8 establece seis tipos de evaluaciones, art. 15 periodicidad de las evaluaciones menor de 3 años, art 24 Pruebas de alcoholemia y SPA para trabajadores de actividad IV y V no requiren autorización del trabajador </t>
  </si>
  <si>
    <t>Resolución 908 del 15 del 15-05-2025 Minsalud, Por la cual se establecen los requisitos y el procedimiento para la expedición, renovación y cambios de la licencia de seguridad y salud en el trabajo</t>
  </si>
  <si>
    <t>REQUISITOS GENERALES
SG-SST</t>
  </si>
  <si>
    <t>Anexo 1: Campo de aplicación a personas naturales
Anexo 2: Campo de aplicación a personas jurídicas
Docentes en SST no requiren licencia en SST</t>
  </si>
  <si>
    <t>Decreto 0728 de 2025, Mintrabajo, 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t>
  </si>
  <si>
    <t xml:space="preserve">PSICO LABORAL
</t>
  </si>
  <si>
    <t>Adición del Capítulo 13 al Título 4 de la Parte 2 del Libro 2 del Decreto número 1072 de 2015. Se adiciona el Capítulo 13 al Título 4 de la Parte 2 del Libro 2 del Decreto número 1072 de 2015, Decreto Único Reglamentario del Sector Trabajo</t>
  </si>
  <si>
    <t>Ley 2466 de 2025; MinTrabajo,pPor medio de la cual se modifica parcialmente normas laborales y se adopta una Reforma Laboral para el trabajo decente y digno en Colombia</t>
  </si>
  <si>
    <t>adoptar una reforma laboral mediante la modificación del Código Sustantivo del Trabajo, la Ley 50 de 1990, Ley 789 de 2002 y otras normas laborales, además se dictan disposiciones para el trabajo digno y decente en Colombia, buscando el respeto a la remuneración justa, bienestar integral, la promoción del diálogo social, las garantías para el acceso a la seguridad social y sostenibilidad de los empleos desde el respeto pleno a los derechos de los trabajadores así como el favorecimiento a la creación de empleo formal en Colombia</t>
  </si>
  <si>
    <t>Resolución 1843 de 2025; MinTrabajo, Por la cual se regula la práctica de evaluaciones médicas ocupacionales, y se dictan otras disposiciones</t>
  </si>
  <si>
    <t>La presente Resolución tiene por objeto regular la práctica de evaluaciones médicas ocupacionales, así como el manejo y contenido de las historias clínicas ocupacionales, con alcance a todos los trabajadores y trabajadoras del país, independientemente del sector económico, tipo de vinculación laboral o afiliación al Sistema General de Riesgos Laborales</t>
  </si>
  <si>
    <t>Circular 075 de 2025; MinTrabajo, PREVENCIÓN, IDENTIFICACIÓN Y ATENCIÓN DEL ACOSO LABORAL, ACOSO SEXUAL Y DISCRIMINACIÓN CONTRA LAS PERSONAS TRANS, PERSONAS NO BINARIAS E IDENTIDADES DE GÉNERO NO HEGEMÓNICAS</t>
  </si>
  <si>
    <t>se reconoce como en Colombia las personas trans, personas no binarias e identidades de género no hegemónicas enfrentan barreras que les impiden acceder a trabajos dignos y decentes, o se ven obligadas a permanecer en espacios laborales cargados de violencia, discriminación y prácticas de negación de su identidad de género. Si bien estas poblaciones hacen parte de los sectores sociales LGBTIQ+, sufren de violencias diferenciales por razón de su identidad de género.</t>
  </si>
  <si>
    <t>Resolución 0194 de 2025; MinVivienda, Por medio de la cual se definen los parámetros y lineamientos de construcción sostenible, se adopta la guía para el ahorro de agua y energía en edificaciones, se sustituye la Resolución 0549 del 2015 y se dictan otras disposiciones.</t>
  </si>
  <si>
    <t xml:space="preserve">establecer los porcentajes mínimos y medidas de ahorro en agua y energía a alcanzar en las nuevas edificaciones y adoptar la guía de construcción sostenible para el ahorro de agua y energía en edificaciones.
 </t>
  </si>
  <si>
    <t xml:space="preserve"> fijar las tarifas para el cobro de
los servicios de evaluación y seguimiento de licencias ambientales, permisos,
autorizaciones y demás instrumentos de control y manejo ambiental de competencia de la
ANLA.</t>
  </si>
  <si>
    <t>reglamentar las condiciones para la participación de las comunidades locales en las mesas de trabajo de carácter regional que deberá adelantar el CONALDEF, previstas en el parágrafo primero del artículo 26 de la Ley 2294 de 2023, Plan Nacional de Desarrollo 2022-2026 "Colombia Potencia Mundial de la Vida".</t>
  </si>
  <si>
    <t>se establecen criterios que permitan determinar la capacidad económica de las personas naturales y jurídicas para cumplir actividades de comercialización de minerales</t>
  </si>
  <si>
    <t>corregir fallas tecnológicas en la plataforma para asegurar su correcto funcionamiento y es necesaria para la correcta operación del sistema de trazabilidad de minerales</t>
  </si>
  <si>
    <t xml:space="preserve">Concepto/criterio 2025 y cruces normativos: la Res. 1843/2025 articula pruebas de alcoholimetría/SPA con el PESV y la metodología vigente del MinTransporte (Res. 20223040040595 de 2022); para 2025 continúan obligaciones de PESV y registro SISI-PESV para sujetos obligados (operación logística propia/tercerizada). Incorpóralo en la matriz por su interacción con conducción de vehículos livianos/pesados y equipos. </t>
  </si>
  <si>
    <t>PESV</t>
  </si>
  <si>
    <t xml:space="preserve">PROCEDIMIENTO PARA LA IDENTIFICACIÓN, ACTUALIZACIÓN  Y EVALUACIÓN DEL CUMPLIMIENTO LEGAL </t>
  </si>
  <si>
    <t>Código:00</t>
  </si>
  <si>
    <t xml:space="preserve">Versión: </t>
  </si>
  <si>
    <t>Fecha: 2022</t>
  </si>
  <si>
    <t>Justificación:
En los últimos tiempos se han emitido grandes cambios normativos en materia de seguridad y salud en el trabajo, todas apuntan a un protagonismo cada vez mayor de los actores del Sistema General de Riesgos Laborales; El decreto 1072 de 2015, obliga  a las empresas el cumplimiento de la normatividad vigente en SST que le aplican según su actividad, taxativamente lo establece en los siguientes artículos del Decreto 1072 de 2015: Articulo  2.2.4.6.12 numeral 15, articulo 2.2.4.6.17 numeral 1,  articulo 2.2.4.6.16 numeral 1, articulo 2.2.4.6.22 numeral 1, articulo 2.2.4.6.18 numeral 4, articulo 2.2.4.6.31 numeral 13, articulo 2.2.4.6.34 numeral 7 y Resolución 0312 de 2019.</t>
  </si>
  <si>
    <t>Objetivo: 
Establecer los lineamientos para identificar, actualizar, evaluar, publicar  y aplicar los requisitos legales que en materia de SST  que son de cumplimiento para la empresa.
Responsable de ejecución: Gerente y  su delegado
Fuentes de información: 
Como insumo para la construcción y actualización de la matriz legal se  realiza un rastreo normativo en las diferentes fuentes de consulta en especial el Diario Oficial como único portal del estado para publicar las normas como requisito fundamental en nuestro ordenamiento jurídico (http://www.imprenta.gov.co/portal/page/portal/IMPRENTA/Productos/Diario_Oficial). También se rastrean las siguientes fuentes de consulta que usualmente publican normas de índole privado y público: http://www.mintrabajo.gov.co/, https://www.minsalud.gov.co/ https://www.mintransporte.gov.co/, https://www.minminas.gov.co/ y el portal de la ARL a la que la empresa se encuentra afiliada.
Recursos necesarios: 
Equipos de cómputo con office, profesional en SST o consultor en riesgos laborales con licencia en SST.</t>
  </si>
  <si>
    <t>Etapas de Gestión:</t>
  </si>
  <si>
    <t>Qué hacer</t>
  </si>
  <si>
    <t>Cómo hacer</t>
  </si>
  <si>
    <t>Quién</t>
  </si>
  <si>
    <t>Documentos y Registros</t>
  </si>
  <si>
    <t>1.Compilación de la normatividad y OTROS</t>
  </si>
  <si>
    <t>Se crea la Matriz de requisitos legales en  SST, ésta contiene las normas  generales y específicas en SST aplicables a la empresa, las normas se compilan en 7 grupos, cada grupo parte con una norma principal y a este se le asignan las demás normas asociadas a dicho grupo o riesgo, por lo tanto las normas no se listan de manera individual en una sola hoja de Excel. Así queda entonces el inventario legal compuesto por leyes, decretos, resoluciones y circulares aplicables a la empresa.
Otros requisitos se consolidan en la hoja otros requisitos, la evaluación de estos no afecta la evaluación de los grupos o clasificadores, puede mantenerse la evaluación que encuentra en ellos.</t>
  </si>
  <si>
    <t>Administrador del SG-SST</t>
  </si>
  <si>
    <t>Matriz legal</t>
  </si>
  <si>
    <t>2. Identificación y clasificación de los requisitos</t>
  </si>
  <si>
    <t xml:space="preserve">Los requisitos aplicables se compilan en 7 grupos y a este se le asocian otras nomas que se refieren a dicha  naturaleza así:
1. Requisitos Generales y Subclasificación
2. Biológico y Subclasificación
3. Físicos y Subclasificación
4. Químico y Subclasificación
5.Psicosociales y Subclasificación
6. Biomecánicos y Subclasificación
7. Condiciones de seguridad y Subclasificación
En la agrupación que parte de una norma principal  se describen las demás normas asociadas a dicho grupo.
A Cada grupo de normas se le asignan unos criterios en forma de pregunta que facilitan hacer la autoevaluación y por ende validar si la empresa cumple o no las normas. </t>
  </si>
  <si>
    <t xml:space="preserve">3. Evaluación </t>
  </si>
  <si>
    <t>Semestralmente la gerencia o el asignado realiza la autoevaluación al cumplimiento bajo el siguiente criterio:
El evaluador puede evaluarse de 0 a 5 según criterios o preguntas que cumpla de grupo de normas respectivo  y del año correspondiente. (El valor de cada pregunta se obtiene de dividir 5 que es el valor máximo de todas la preguntas sobre el total de preguntas, su resultado se multiplica por la cantidad de preguntas que cumple.
Una vez que es evaluado cada grupo de criterios, se obtiene el indicador de cumplimiento global y por clasificador de los requisitos legales que se visibiliza en la hoja de cumplimiento, allí hay un resumen de evaluación por año donde se puede hacer el análisis del indicador, también se encuentra un gráfico comparativo de los últimos dos años</t>
  </si>
  <si>
    <t>4. Definir Planes de Acción por incumplimientos legales observados</t>
  </si>
  <si>
    <t>Una vez son auto-evaluados  los criterios que evidencian el cumplimiento de cada grupo de normas, el responsable de la autoevaluación en la misma hoja debe asentar el plan de acción que debe ejecutarse para cerrar brechas identificadas.</t>
  </si>
  <si>
    <t>Matriz legal y planes de acción, indicador de cumplimiento</t>
  </si>
  <si>
    <t>5. Actualización de la matriz</t>
  </si>
  <si>
    <t>Si bien es conocido que la matriz debe actualizarse en la medida que sean expedidas nuevas normas aplicables a la organizacón, por razones de tiempo y económia, la empresa ha obtado por hacer un rastreo normativos de manera semestral, sea con apoyo de un experto externo, de la ARL o por el administrador del SG-SSST en las fuentes de consulta arriba descritas para identificar nuevos requisitos aplicables, si se encuentran una nueva norma aplicable, de inmediatamente se ingresa al grupo de normas que corresponda o sea asocia al clasificador o grupo correspondiente, (No es necesario adicionar filas nuevas) si la nueva norma tiene un criterio o exigencia nueva a las ya listadas en el cuadro de criterios, esta se debe agregar a la numeración consecutiva y así entra a hacer parte del grupo de criterios para evaluar el cumplimiento,  así se mantendrá actualizada la matriz</t>
  </si>
  <si>
    <t>6. Verificar la eficacia de los Planes de Acción.</t>
  </si>
  <si>
    <t>A los planes de acción que se le asigna a cada grupo de normas se les debe hacer seguimiento periódico y así recalificarán  nuevamente y a la vez dinamiza el indicador de cumplimiento.</t>
  </si>
  <si>
    <t>Matriz legal, con planes de acción y seguimiento, indicador de cumplimiento</t>
  </si>
  <si>
    <t>7. Comunicación y Publicación</t>
  </si>
  <si>
    <t>La matriz de requisitos legales se puede publicar en la intranet de manera permanente y sobre ésta se hace la actualización y calificación periódica, el gerente tiene la responsabilidad de comunicar a los trabajadores el cumplimiento legal y los cambios que se puedan dar. El gráfico de cumplimiento legal es el insumo para hacer la revisión por la dirección al cumplimiento legal.</t>
  </si>
  <si>
    <t>Matriz legal, registros de divulgación</t>
  </si>
  <si>
    <t>CRITERIOS DE VALORACIÓN  DELCUMPLIMIENTO LEGAL</t>
  </si>
  <si>
    <t xml:space="preserve">CRÍTICO: </t>
  </si>
  <si>
    <t>Si el porcentaje obtenido es menor al 60%</t>
  </si>
  <si>
    <t>MODERADAMENTE ACEPTABLE
1. Verificar registros documentales de cumplimiento del requisito.
2. Confirmar actualización de procedimientos y formatos relacionados.
3. Revisar trazabilidad de acciones preventivas y correctivas.</t>
  </si>
  <si>
    <t>Si el porcentaje obtenido está entre el 60 y 85%</t>
  </si>
  <si>
    <t>ACEPTABLE:</t>
  </si>
  <si>
    <t>Si el Porcentaje obtenido es mayor al 85%</t>
  </si>
  <si>
    <t>NORMAS (Objeto)</t>
  </si>
  <si>
    <t xml:space="preserve"> Artículos (si aplica)</t>
  </si>
  <si>
    <t>Artículos 25, 48, 49 y 53 de la Constitución Política de Colombia.</t>
  </si>
  <si>
    <t>1. ¿La empresa garantiza condiciones de trabajo dignas y justas para todos los trabajadores (art. 25)?
2. ¿Todos los trabajadores se encuentran afiliados y con aportes al sistema de seguridad social integral al día (art. 48)?
3. ¿Las decisiones del SG-SST están orientadas a la prevención y promoción de la salud de los trabajadores (art. 49)?
4. ¿Las políticas internas de talento humano y las condiciones de trabajo respetan los mínimos fundamentales señalados en el art. 53 (estabilidad, irrenunciabilidad de derechos, primacía de la realidad, etc.)?</t>
  </si>
  <si>
    <t>Artículos 2, 5, 6, 10 y 11 de la Ley 1751 de 2015.</t>
  </si>
  <si>
    <t>1. ¿Las políticas y procedimientos internos garantizan el derecho fundamental a la salud de los trabajadores como parte de la gestión del SG-SST?
2. ¿Se gestionan los riesgos que puedan afectar la salud física y mental de los trabajadores, priorizando la prevención (arts. 5 y 6)?
3. ¿La empresa garantiza el acceso efectivo a los servicios de salud derivados de accidentes y enfermedades laborales, sin barreras de oportunidad o trámite (arts. 10 y 11)?</t>
  </si>
  <si>
    <t>Artículos 2.2.4.6.1 al 2.2.4.6.45 del Decreto 1072 de 2015, adicionados y complementados por normas posteriores, incluyendo el Decreto 728 de 2025.</t>
  </si>
  <si>
    <t>1. ¿HOLCIM tiene implementado formalmente el Sistema de Gestión de Seguridad y Salud en el Trabajo (SG-SST) conforme a la estructura y requisitos del Capítulo 6 del Decreto 1072 de 2015?
2. ¿Se realiza la identificación de peligros, valoración y control de riesgos con metodología documentada y actualizada, incluyendo riesgos psicosociales y de consumo de sustancias psicoactivas (acorde con las adiciones del Decreto 728 de 2025)?
3. ¿Se ejecuta anualmente la autoevaluación de estándares mínimos, el plan de mejora y el plan anual del SG-SST, con evidencia documental trazable (art. 2.2.4.6.8 y concordantes)?</t>
  </si>
  <si>
    <t>Artículos 2, 4, 17 a 22, 46 a 53, 92 a 101 y 113 a 118 de la Resolución 4272 de 2021.</t>
  </si>
  <si>
    <t>1. ¿Las áreas de trabajo, pasillos, escaleras y superficies de circulación cuentan con barandas, rodapiés y condiciones de seguridad conforme a los arts. 17 a 22 de la Resolución 4272 de 2021?
2. ¿Las actividades de trabajo en alturas en HOLCIM se realizan sólo por trabajadores autorizados, con capacitación, equipos y procedimientos seguros de acuerdo con los arts. 46 a 53?
3. ¿Se cuenta con un programa formal de orden y aseo industrial y con resguardos de máquinas y equipos, conforme a los arts. 92 a 101 y 113 a 118?</t>
  </si>
  <si>
    <t>Artículos 11, 13 y 21 de la Ley 1618 de 2013.</t>
  </si>
  <si>
    <t>1. ¿HOLCIM ha identificado trabajadores con discapacidad y ha implementado ajustes razonables en el puesto de trabajo y en las instalaciones físicas (art. 11)?
2. ¿Las instalaciones (accesos, rutas, baños, señalización) garantizan accesibilidad para personas con discapacidad (art. 13)?
3. ¿Se cuenta con políticas de no discriminación e inclusión laboral para personas con discapacidad (art. 21)?</t>
  </si>
  <si>
    <t>Artículos 2, 5, 16, 17, 25, 26 y 27 de la Resolución 0312 de 2019.</t>
  </si>
  <si>
    <t>1. ¿La empresa ha definido la tabla de estándares mínimos que le aplica según el número de trabajadores y clase de riesgo, conforme al art. 2 de la Resolución 0312 de 2019?
2. ¿Se realiza anualmente la autoevaluación de estándares mínimos, se registra en el formulario oficial y se formula el plan de mejora y el plan anual del SG-SST (arts. 16, 26 y 27)?
3. ¿Las evidencias documentales (procedimientos, programas, registros, indicadores, investigaciones de AT y EL, capacitación, etc.) permiten demostrar el cumplimiento de cada estándar mínimo aplicable?</t>
  </si>
  <si>
    <t>1. ¿La empresa cuenta con procedimientos definidos para la habilitación del trabajo en casa, incluyendo comunicación formal al trabajador (arts. 5 y 7)?
2. ¿Se garantiza la seguridad y salud en el trabajo para quienes prestan servicios bajo la modalidad de trabajo en casa, incluyendo la identificación y control de riesgos en el lugar donde se desarrolla la labor (arts. 8 y 9)?
3. ¿Se respeta el derecho a la desconexión laboral para quienes se encuentren en trabajo en casa, conforme al art. 11 y normas complementarias?</t>
  </si>
  <si>
    <t>Circular 0012 de 2024 del Ministerio del Trabajo.</t>
  </si>
  <si>
    <t>1. ¿HOLCIM identificó los riesgos derivados de condiciones climáticas extremas (altas temperaturas, incendios forestales, desabastecimiento de agua, etc.) asociados al fenómeno de El Niño?
2. ¿Se implementaron medidas específicas de prevención y protección (hidratación, pausas activas, control de exposición a calor, planes de emergencia) conforme a las recomendaciones de la Circular 0012 de 2024?
3. ¿Existen registros de comunicación, capacitación y seguimiento a las medidas adoptadas frente al fenómeno de El Niño?</t>
  </si>
  <si>
    <t>1. ¿HOLCIM realiza la autoevaluación anual de estándares mínimos del SG-SST en las fechas y medios establecidos en la Circular 015 de 2024?
2. ¿El resultado de la autoevaluación y el plan de mejora son reportados a través de los mecanismos indicados por el Ministerio del Trabajo, dentro de los plazos vigentes?
3. ¿Se conserva evidencia del envío, acuse de recibo y trazabilidad del reporte de autoevaluación y plan de mejora?</t>
  </si>
  <si>
    <t>Artículos 1 al 8 del Decreto 728 de 2025 y capítulo adicionado al Decreto 1072 de 2015.</t>
  </si>
  <si>
    <t>1. ¿HOLCIM ha incorporado en su SG-SST un programa específico de promoción de la salud mental y prevención de problemas y trastornos mentales, de acuerdo con el Decreto 728 de 2025?
2. ¿Se cuenta con un programa de prevención del consumo de alcohol y sustancias psicoactivas en el lugar de trabajo, con actividades de sensibilización, identificación temprana y remisión, cuando aplique?
3. ¿Se han definido indicadores, registros y responsables para el seguimiento de las acciones en salud mental y SPA, con énfasis en los riesgos psicosociales de la industria del cemento?</t>
  </si>
  <si>
    <t xml:space="preserve">año </t>
  </si>
  <si>
    <t>SG-SSTDerechos laborales, seguridad social y salud</t>
  </si>
  <si>
    <t xml:space="preserve">Constitución Política de Colombia </t>
  </si>
  <si>
    <t xml:space="preserve">Requisitos Generales del SGSST </t>
  </si>
  <si>
    <t>Ley Estatutaria de Salud</t>
  </si>
  <si>
    <t xml:space="preserve">Ley 1751 </t>
  </si>
  <si>
    <t xml:space="preserve">Decreto 2663 . Código Sustantivo del Trabajo </t>
  </si>
  <si>
    <t> Derechos y deberes de empleadores y trabajadores</t>
  </si>
  <si>
    <t>Directrices para el Sistema de Gestión de la Seguridad y Salud en el Trabajo (SG-SST) Libro 2. Título 4. Capítulo 6</t>
  </si>
  <si>
    <t xml:space="preserve">Readaptación profesional y empleo de personas inválidas  </t>
  </si>
  <si>
    <t>Ley 82</t>
  </si>
  <si>
    <t xml:space="preserve">Empleo y discapacidad </t>
  </si>
  <si>
    <t>Requisitos mínimos de seguridad para trabajo en alturas y condiciones de seguridad en los lugares de trabajo</t>
  </si>
  <si>
    <t>Saneamiento básico en sitios de trabajo.</t>
  </si>
  <si>
    <t xml:space="preserve">Decreto 1295 </t>
  </si>
  <si>
    <t>Establece el Sistema General de Riesgos Profesionales (ahora Riesgos Laborales).</t>
  </si>
  <si>
    <t xml:space="preserve">Requisitos generales del SGSST </t>
  </si>
  <si>
    <t xml:space="preserve">Unificar las instrucciones para la vigilancia, control y administración del Sistema General de Riesgos Profesionales. </t>
  </si>
  <si>
    <t xml:space="preserve">Circular unificada </t>
  </si>
  <si>
    <t>Numerales. A3, A6. B3</t>
  </si>
  <si>
    <t>Ley 378</t>
  </si>
  <si>
    <t>Artículos 11-14</t>
  </si>
  <si>
    <t>Artículo 1</t>
  </si>
  <si>
    <t>Ley 1562</t>
  </si>
  <si>
    <t xml:space="preserve"> Define el Programa de Salud Ocupacional como un Sistema de gestión </t>
  </si>
  <si>
    <t xml:space="preserve">empleo y discapacidad </t>
  </si>
  <si>
    <t>Garantías para las personas con discapacidad</t>
  </si>
  <si>
    <t xml:space="preserve">Ley 1618 </t>
  </si>
  <si>
    <t>Resolución 6045</t>
  </si>
  <si>
    <t>Por la cual se adopta el Plan Nacional   de SST 2013-2021</t>
  </si>
  <si>
    <t xml:space="preserve">Articulo 2 y 3 </t>
  </si>
  <si>
    <t xml:space="preserve">Ley 982 </t>
  </si>
  <si>
    <t>Inclusión laboral y la seguridad de personas con discapacidad auditiva. </t>
  </si>
  <si>
    <t xml:space="preserve">Artículos 3. 15. 32. 34 y 41 </t>
  </si>
  <si>
    <t xml:space="preserve">1. Se han identificado y definido a las personas con las deficiencias reconocidas como :  "sordo", "sordociego" e "hipoacúsico", que son fundamentales para identificar los riesgos y las poblaciones a proteger en el SGSST? 
2. Se cuenta  con acceso al público a contar con señalización, avisos, información visual y sistemas de alarmas luminosas, lo cual se aplica a la infraestructura del lugar de trabajo y a la comunicación de emergencias.
3. La empresa aplica el principio y cuenta con la evidencia de que a igual trabajo debe corresponder igual salario, sin importar si el trabajador es sordo, sordociego u oyente, y sanciona la discriminación salarial.?
4. Se han tenido en cuenta actividades, campañas , políticas de no discriminación por identidad lingüística o cultural, lo que implica que los empleadores deben evitar cualquier trato peyorativo o diferenciado por ser sordo?
5.  La empresa ha identificado  y prohibido actividades de alto riesgo para este grupo poblacional?
</t>
  </si>
  <si>
    <t>Derechos de las personas con discapacidad</t>
  </si>
  <si>
    <t xml:space="preserve">Artículos 1,2,4,9,y 22 </t>
  </si>
  <si>
    <t xml:space="preserve">1. Las políticas y programas del SG-SST incorporan los derechos de las personas con discapacidad?
2. Existe evidencia documental (actas, comunicaciones, registros, contratos, entre otros) que demuestre la aplicación de los derechos de las personas con discapacidad en la organización?                                                                                3. Se han implementado ajustes razonables para permitir a las personas con discapacidad un acceso y participación plena en el entorno laboral?
4. Se han implementado campañas/ programas de sensibilización acerca de las personas con discapacidad ?
5. Se han adelantado accioones que permiten el acceso, en igualdad de condiciones con las demás, a su entorno físico, al transporte, a la información y a las comunicaciones, incluyendo los lugares de trabajo?
6. Se ha protegido la  injerencia arbitraria en la privacidad de las personas con discapacidad ,  garantizando la protección de la información personal y relativa a la salud en igualdad de condiciones con las demás? 
</t>
  </si>
  <si>
    <t>Modifica el artículo 2.2.4.6.37 del Decreto 1072 de 2015</t>
  </si>
  <si>
    <t>Artículo 1.                                                                                                      Fecha límite para la sustitución de los programas de salud ocupacional por el SG-SST (a más tardar el 31 de enero de 2017)</t>
  </si>
  <si>
    <t>Estándares Mínimos</t>
  </si>
  <si>
    <t>Resolución 0312</t>
  </si>
  <si>
    <t xml:space="preserve">Decreto 2106  </t>
  </si>
  <si>
    <t>Ley Antitrámites</t>
  </si>
  <si>
    <r>
      <t xml:space="preserve">Artículos 108  y 64                                    </t>
    </r>
    <r>
      <rPr>
        <sz val="11"/>
        <color theme="1"/>
        <rFont val="Calibri"/>
        <family val="2"/>
        <scheme val="minor"/>
      </rPr>
      <t xml:space="preserve">18, 59 y 60 </t>
    </r>
  </si>
  <si>
    <r>
      <t xml:space="preserve">1, Se cuenta con gestión documental electrónica y el uso de sistemas de información para facilitar la verificación de la información de manera digital?                                                                                2. </t>
    </r>
    <r>
      <rPr>
        <sz val="11"/>
        <color theme="1"/>
        <rFont val="Calibri"/>
        <family val="2"/>
        <scheme val="minor"/>
      </rPr>
      <t xml:space="preserve">Se cuenta con  registros (informes, actas, listas de verificación, reportes) que demuestren la aplicación práctica de la  reforma  de trámites y procedimientos sobre la supresión de la inscripción de empresas de alto riesgo                                                                                                                                            </t>
    </r>
  </si>
  <si>
    <t xml:space="preserve">Decreto 539 </t>
  </si>
  <si>
    <t>Por el cual se expide el Reglamento de Higiene y Seguridad en las Labores Mineras a Cielo Abierto</t>
  </si>
  <si>
    <t>Trabajo en casa</t>
  </si>
  <si>
    <t xml:space="preserve">Ley 2088 </t>
  </si>
  <si>
    <t>Artículos 5, 7, 8, 9 y 11</t>
  </si>
  <si>
    <t>Reglamenta e incorpora el trabajo en casa en el Decreto 1072 de 2015.</t>
  </si>
  <si>
    <t xml:space="preserve">Decreto 649 </t>
  </si>
  <si>
    <t>1. ¿Los procedimientos de trabajo en casa de HOLCIM se encuentran alineados con las disposiciones incorporadas al Decreto 1072 de 2015 mediante el Decreto 649 de 2022?
2. ¿Se realiza evaluación de riesgos del puesto de trabajo en casa y se implementan medidas de prevención y protección acordes con dicha evaluación?
3. ¿Existen registros de capacitación y sensibilización sobre riesgos y autocuidado para trabajadores en trabajo en casa?                                                      4. Se han verificado que las obligaciones del trabajador, incluyendo cumplir las normas de SGSST se estén cumpliendo y  se esté dando cumplimiento  a la participación en actividades de promoción y prevención.</t>
  </si>
  <si>
    <t>•	Artículo 2.2.1.6.7.6. Escrito para la habilitación del trabajo en casa
•	Artículo 2.2.1.6.7.11. Alternancia en el trabajo en casa
•	Artículo 2.2.1.6.7.13. Terminación de la habilitación de trabajo en casa
•	Artículo 2.2.1.6.7.14. Programas de bienestar
•	Artículo 2.2.1.6.7.7. Habilitación de trabajo en casa                               • Artículo 2.2.1.6.7.8 Regula la desconexión laboral</t>
  </si>
  <si>
    <t>Ley 1346</t>
  </si>
  <si>
    <t>Decreto. 171</t>
  </si>
  <si>
    <t>Decreto 768</t>
  </si>
  <si>
    <r>
      <t>Actualiza la Tabla de Clasificación de Actividades Económicas para el Sistema General de Riesgos Laborales</t>
    </r>
    <r>
      <rPr>
        <sz val="11"/>
        <color rgb="FF0A0A0A"/>
        <rFont val="Calibri"/>
        <family val="2"/>
        <scheme val="minor"/>
      </rPr>
      <t> en Colombia.</t>
    </r>
  </si>
  <si>
    <t xml:space="preserve">Artículos 1- 4 , 8 y 9 </t>
  </si>
  <si>
    <t xml:space="preserve">Rehabilitación integral y reintegro </t>
  </si>
  <si>
    <t xml:space="preserve">Resolución 3050 </t>
  </si>
  <si>
    <t>Resolución 1151</t>
  </si>
  <si>
    <t xml:space="preserve">Artículo 1, Anexo Técnico y Considerandos.                                                        </t>
  </si>
  <si>
    <t xml:space="preserve">1. Se ha tenido en cuenta la  Resolución 1151 en lo referenrte a los campos de acción para personas naturales que pueden tramitar una licencia en Seguridad y Salud en el Trabajo, especialmente añadiendo la competencia para la investigación de accidentes de trabajo y enfermedades laborales en caso de haber sido necesario en los profesionales SST de la empresa ?                             2. Los direcivos que contratan el personal relacionado con SST  han tenido en cuenta que se han  establecido  parámetros claros para la expedición, renovación, vigilancia y control de las licencias de SST en la cual se aclara las actividades específicas que  puede realizar cada persona en función de su nivel y perfil de formación académica .?  </t>
  </si>
  <si>
    <t>Requisitos Licencia profesionales SST</t>
  </si>
  <si>
    <t>Resolución 754</t>
  </si>
  <si>
    <t xml:space="preserve">Artículos 1,2,y 7                            Anexos 1 y 2 </t>
  </si>
  <si>
    <t>1. La empresa ha verificado las funciones del personal  SST, que  estén a cargo de profesionales licenciados, según los campos de acción definidos en el Anexo 1 de la Resolución 754.?                                                                         2.  Se ha verificado que los prestadores de servicios SST EJEMPLO exámenes médicos cumplan con los requisitos establecidos en el Anexo 2?                    3. La empresa cuenta con los profesionales licenciados para el diseño, administración y ejecución del SG-SST, según lo que establecen los Anexos 1 y 2?</t>
  </si>
  <si>
    <t>Expedición y renovación de la licencia de Seguridad y Salud en el Trabajo (SST)</t>
  </si>
  <si>
    <t xml:space="preserve"> Reglamenta e incorpora el trabajo en casa </t>
  </si>
  <si>
    <t>•	Artículo 2.2.1.6.7.1. Objeto
•	Artículo 2.2.1.6.7.7. Obligaciones del empleador
•	Artículo 2.2.1.6.7.8. Obligaciones del trabajador
•	Artículo 2.2.1.6.7.10. Compensación por uso de herramientas de trabajo de propiedad del trabajador
•	Artículo 2.2.1.6.7.13. Terminación de la habilitación de trabajo en casa</t>
  </si>
  <si>
    <t xml:space="preserve">1. El trabajo en casa se ha  incluido en la metodología de la matriz de peligros y riesgos del SG-SST?.
2. Se han establecido las medidas para prevenir riesgos laborales, incluyendo la dirección de trabajo en casa y la notificación a la ARL.
3. Se ha comunicado al  trabajador debe cumplir con las condiciones de seguridad y salud en el trabajo, y la empresa ha verificadp que se cumplan a través de los medios pactados?.
4. se ha contemplado la compensación por uso de herramientas de trabajo de propiedad del trabajador, lo cual se debe haber  incluído en la matriz de peligros y riesgos.                                                             5.  En relación a la terminación de la habilitación del trabajo en casa se ha  comunicado  al trabajador, junto con las medidas de seguridad y salud en el trabajo y las políticas de bienestar laboral? 
</t>
  </si>
  <si>
    <t>Plan Nacional de Contingencia frente a pérdidas de contención de hidrocarburos y otras sustancias peligrosasy adiciona el Capítulo 7 al Título 1 de la Parte 3 del Libro 2 del Decreto 1081 de 2015</t>
  </si>
  <si>
    <t>Decreto 1868 del Ministerio de Ambiente y Desarrollo Sostenible</t>
  </si>
  <si>
    <t xml:space="preserve">Cuidado ambiental y  gestión del riesgo de desastres </t>
  </si>
  <si>
    <t xml:space="preserve">
•	Artículo 2.3.1.7.1.2 (adicionado al Decreto 1081 de 2015): Define el objetivo del Plan Nacional de Contingencia (PNC) 
•	Artículo 2.3.1.7.1.3 (adicionado al Decreto 1081 de 2015)
•	Anexo Técnico (parte integral del decreto 
•	Considerandos y contexto general del decreto: </t>
  </si>
  <si>
    <t xml:space="preserve">Anexo técnico </t>
  </si>
  <si>
    <t xml:space="preserve">Modifica el alcance de las licencias SST </t>
  </si>
  <si>
    <t>Resolución 1151.                          Modifica la Resolución 754</t>
  </si>
  <si>
    <t xml:space="preserve">Resolución 3077 </t>
  </si>
  <si>
    <t xml:space="preserve">Plan Nacional SST (Marco estratégico y guía para las intervenciones) </t>
  </si>
  <si>
    <t xml:space="preserve">1.En la Linea 2: Cuentan con programas de promoción de la salud laboral ?        2.En la Linea 4: Han articulado la cultura de salud laboral y bienestar con acciones de promoción de salud, actividades de recreación y cultura, modos y estilos de vida saludables?                                                                                           3. En la Línea 5: Se ha fortalecodo los procesos mediante la elaboración, socialización y seguimiento de medidas que permitan garantizar la rehabilitación temprana, la rehabilitación integral y la reincorporación laboral, según sea el caso? </t>
  </si>
  <si>
    <t xml:space="preserve"> Resolución 2851 </t>
  </si>
  <si>
    <t xml:space="preserve">Revoca la Resolución 3032 Guía act de alto riesgos ya que contraviene el Decreto 2090 de 2003 </t>
  </si>
  <si>
    <t xml:space="preserve">Punto 2 Ambito de aplicación a quienes va dirigido </t>
  </si>
  <si>
    <t xml:space="preserve">Circular 021 2023 </t>
  </si>
  <si>
    <t xml:space="preserve">Punto 2 y 3 </t>
  </si>
  <si>
    <t>Ampliación de plazo registro anual de autoevaluaciones de Estándares Mínimos y planes de mejoramiento del SG-SST</t>
  </si>
  <si>
    <t xml:space="preserve">1. La empresa ha realizado a partir del año  2020 y en adelante: La aplicación de la autoevaluación conforme a la Tabla de Valores y Calificación de los Estándares Mínimos del Sistema de Gestión de SST, mediante el diligenciamiento del formulario de evaluación establecido en el artículo 27 de la Resolución 0312 de 2019.
 2. Se cuenta con la elaboración del Plan de Mejora conforme al resultado de la autoevaluación de los Estándares Mínimos. (Este Plan de Mejora debe tener la  aprobación  por la empresa en el Plan Anual del Sistema de Gestión de SST.)
3. Se ha Formulado el Plan Anual del Sistema de Gestión de SST, el cual debe empezar a ser ejecutado a partir del (1°) primero de enero del año siguiente.
 4. Se puede evidenciar que la empresa y sus contratantes han realizado  la autoevaluación de los Estándares Mínimos y planes de mejoramiento de acuerdo con lo señalado en el artículo 28 de la Resolución 0312 de 2019, los cuales se registrarán de manera paulatina y progresiva en la aplicación habilitada en la página web del Ministerio del Trabajo o por el medio que éste indique.
 </t>
  </si>
  <si>
    <t xml:space="preserve"> Acciones de prevención y protección frente a riesgos laborales en el marco del fenómeno de El Niño.</t>
  </si>
  <si>
    <t xml:space="preserve">Circular 0012 </t>
  </si>
  <si>
    <t>Reporte de autoevaluación de estándares mínimos y plan de mejora del SG-SST.</t>
  </si>
  <si>
    <t>Circular 015</t>
  </si>
  <si>
    <t xml:space="preserve">Toda la Circular </t>
  </si>
  <si>
    <t xml:space="preserve">Resolución 5137 </t>
  </si>
  <si>
    <t>Adopta una agenda al plan nacional de SST 2022-2031,  Decreto 1527 del 12-12-2024, adopta la Política Pública de Trabajo Digno y Decente.</t>
  </si>
  <si>
    <r>
      <t>1. La empresa ha realizado un estudio técnico con el fin de desarrollar un modelo de aseguramiento de protección de riesgos laborales especifico dirigido a la población vulnerable del sector rural en los centros de trabajo ubicados en esas zonas , considerando sus condiciones sociodemográficas, socioeconómicas y laborales.                                                                                                            2. La empresa ha r</t>
    </r>
    <r>
      <rPr>
        <sz val="11"/>
        <color theme="5"/>
        <rFont val="Calibri"/>
        <family val="2"/>
        <scheme val="minor"/>
      </rPr>
      <t>ealizado un estudio de viabilidad para evaluar el incremento del aporte del 1% al 3% del total de la cotización al Fondo de Riesgos Laborales, según lo establecido en el numeral 3 del artículo 11 de la Ley 1562 de 2012, como mecanismo para garantizar la implementación del modelo de protección de riesgos laborales.</t>
    </r>
    <r>
      <rPr>
        <sz val="11"/>
        <color theme="1"/>
        <rFont val="Calibri"/>
        <family val="2"/>
        <scheme val="minor"/>
      </rPr>
      <t xml:space="preserve"> 3. La empresa ha realizado la caracterización sociodemográfica de condiciones de salud y trabajo?
4. La empresa ha realizado capacitaciones sobre riesgos ocupacionales específicos de la labor que desempeñan?
5. La empresa ha realizado asistencia técnica para la implementación de medidas sencillas de control de los riesgos prioritarios, tanto en el trabajo productivo, como reproductivo.                                                                                      6. Se cuenta con programas - campañas - estrategias o intervenciones documentadas donde se ha fomentado la cultura del autocuidado, promoción de la seguridad y la salud de los trabajadores y la prevención de los riesgos laborales, para el logro del bienestar y calidad de vida laboral.?
7. Se ha Integrado el enfoque de género en el Sistema de Gestión de Seguridad y Salud en el Trabajo (SG-SST)? qué políticas o procedimientos o programas de gestión del cambio se han implementado ? </t>
    </r>
  </si>
  <si>
    <t>Decreto 1527</t>
  </si>
  <si>
    <t xml:space="preserve">Artículos 1- 3.                                         Linea 1-2-3-4-5-6 y 7 </t>
  </si>
  <si>
    <t>Por el cual se adiciona el Título 2 a la Parte 1 del Libro 2 del Decreto 1072 de 2015 Único Reglamentario del Sector Trabajo, y se adopta la Política Pública de Trabajo Digno y Decente</t>
  </si>
  <si>
    <t xml:space="preserve">Artículo 2.1.2.1.4. Definición 9 </t>
  </si>
  <si>
    <t xml:space="preserve">1. ¿El SG-SST incorpora los requisitos establecidos en Decreto 1527 del 12-12-2024, adopta la Política Pública de Trabajo Digno y Decente. dentro de sus procedimientos, estándares y controles operativos?
2. ¿Se cuenta con documentación actualizada (procedimientos, instructivos, protocolos) que evidencie la implementación de lo definido en Decreto 1527 del 12-12-2024, adopta la Política Pública de Trabajo Digno y Decente.?
3. ¿Se verifica de manera periódica el cumplimiento de Decreto 1527 del 12-12-2024, adopta la Política Pública de Trabajo Digno y Decente. en auditorías internas, inspecciones o revisiones de la matriz legal?
4. Se puede evidenciar que el trabajo se realiza  en ambientes adecuados y libres de riesgos, con las protecciones previstas en el Sistema de Gestión de Seguridad y Salud en el Trabajo (SG-SST)?                                                                           5. Se puede evidenciar que el trabajo se realiza con unas relaciones libres de violencia y respetuosas de la dignidad y los derechos que de ésta derivan, de acuerdo con los lineamientos reconocidos en los Convenios de la OIT? 
</t>
  </si>
  <si>
    <t xml:space="preserve">Resolución 6072 </t>
  </si>
  <si>
    <t>Se establece la aplicación de los criterios de la Corte Constitucional en cuanto a la continuidad de los derechos y garantías de los trabajadores que desarrollan actividades de alto riesgo contemplados en el Decreto número 2090 de 2003, para la pensión especial de vejez Circular No. 09 22-02-2025 Min trabajo Registro anual de EM, autoevaluación,</t>
  </si>
  <si>
    <t>Artículo 1° Artículo 2° Artículo 5° y Artículo 6°</t>
  </si>
  <si>
    <t>1. ¿La empresa ha identificado los requisitos específicos de Resolución 6072 de 2024  y cuenta con registros por medio de la cual se establece la aplicación de los criterios de la Corte Constitucional en cuanto a la continuidad de los derechos y garantías de los trabajadores que desarrollan actividades de alto riesgo contemplados en el Decreto número 2090 de 2003?
2. ¿Se dispone de procedimientos, instructivos o formatos que permitan cumplir con las exigencias técnicas y administrativas de Resolución 6072 de 2024 Por medio de la cual se establece la aplicación de los criterios de la Corte Constitucional en cuanto a la continuidad de los derechos y garantías de los trabajadores que desarrollan actividades de alto riesgo contemplados en el Decreto número 2090 de 2003,?
3 ¿Se han comunicado los requisitos de Resolución 6072 de 2024 en cuanto a la continuidad de los derechos y garantías de los trabajadores que desarrollan actividades de alto riesgo contemplados en el Decreto número 2090 de 2003, para la pensión especial de vejez?                                                   4. Se cuenta con registro anual de  autoevaluación, a los trabajadores, contratistas y proveedores que se ven impactados por esta norma?
6. ¿Se cuenta con un registro de las no conformidades asociadas al cumplimiento de Resolución 6072 de 2024 y las acciones correctivas o de mejora con responsables y fechas definidas?                                                           7. Se ha tenido en cuenta el mantener las cotizaciones pensionales actuales para los trabajadores vinculados a partir de enero de 2025. ?</t>
  </si>
  <si>
    <t xml:space="preserve">Resolución 908  </t>
  </si>
  <si>
    <t xml:space="preserve">
Artículo 3 (Aplicativo web)                                                                    Artículo 6 (Vigencia de la licencia)
Artículo 7 (Cobertura)
Artículo 8 (Excepciones)
Artículo 10 (Requisitos)
Artículo 21 (Requisitos para personas jurídicas) </t>
  </si>
  <si>
    <t>1. La empresa tiene claro que la resolución 908 aplica tanta para personas naturales como jurídicas ? 
2. La empresa usa los canales digitales  a través de un aplicativo web del Ministerio de Salud para los trámites de licencias SST ? 
3. Los profesionales SST Afiliados a la empresa conocen que es de la  competencia de las secretarías de salud departamentales y distritales para resolver sus solicitudes?
4. Se cuenta con un seguimiento de la  vigencia de la licencia , la cual es de 10 años, renovables por el mismo término si se cumplen los requisitos?
5. La empresa ha solicitado docuementación a personas jurídicas SST , como la estabilidad financiera,Capacidad Tecnológica y Científica; demostrar que cuentan con los recursos técnicos, la infraestructura y el personal calificado (profesionales con licencia vigente) para realizar las actividades en los campos de acción para los que solicitan la licencia (higiene, seguridad, medicina del trabajo). y  suficiencia patrimonial y Financiera, donce  La empresa debe demostrar solidez económica que garantice la continuidad y calidad del servicio.( Esto generalmente implica presentar estados financieros u otros documentos que prueben la capacidad de la organización) Verificar si se han solicitado</t>
  </si>
  <si>
    <t xml:space="preserve">Resolución  2400 </t>
  </si>
  <si>
    <t>Decreto Único Reglamentario del Sector Trabajo, Libro 2, Parte 2, Título 4, Capítulo 6 – SG-SST</t>
  </si>
  <si>
    <t xml:space="preserve">Decreto 1072 </t>
  </si>
  <si>
    <t xml:space="preserve">Por el cual se expide el Reglamento de Higiene y Seguridad en las Labores Mineras a Cielo Abierto </t>
  </si>
  <si>
    <t>Artículo 3
Artículo 6
Artículo 19
Artículo 23
Artículo 123</t>
  </si>
  <si>
    <t>Artículos  691-706</t>
  </si>
  <si>
    <t xml:space="preserve"> Condiciones para menores de edad  y mujeres, Requisitos de salud, riesgos y controles en los trabajos nocturnos .</t>
  </si>
  <si>
    <t xml:space="preserve">Ley 2663 </t>
  </si>
  <si>
    <t xml:space="preserve">Ley 50 </t>
  </si>
  <si>
    <t>Artículo 161</t>
  </si>
  <si>
    <t>El Artículo 161 modificó el Código Sustantivo del Trabajo para establecer jornadas máximas de trabajo para menores de edad:</t>
  </si>
  <si>
    <t>Ley 789</t>
  </si>
  <si>
    <t>Artículos 9 y 14</t>
  </si>
  <si>
    <t xml:space="preserve">Resolución 623  </t>
  </si>
  <si>
    <t>Por la cual se modifica la Resolución 3546 de 2018 en cumplimiento del artículo 192 de la Ley 1955 de 2019 y se dictan otras disposiciones (Estudiantes en práctica)</t>
  </si>
  <si>
    <t>1. Se cuenta con  autorización del Inspector del Trabajo y Seguridad Social para estudiantes de entre quince (15) y diecisiete (17) años que realicen prácticas laborales? 
2. En la práctica laboral,  se ha contemplado la afiliación a seguridad social, la designación de un tutor y la certificación de las actividades.?</t>
  </si>
  <si>
    <t>Artículo 5.
Artículos 4 y 9:</t>
  </si>
  <si>
    <t>Por la cual el congreso reduce la jornada laboral a 42 horas</t>
  </si>
  <si>
    <t xml:space="preserve">Jornada Laboral </t>
  </si>
  <si>
    <t xml:space="preserve">Practicantes menores de edad </t>
  </si>
  <si>
    <t xml:space="preserve">Estudiantes que trabajan </t>
  </si>
  <si>
    <t>Ley 2101</t>
  </si>
  <si>
    <t xml:space="preserve">Artículos 3 y 6 </t>
  </si>
  <si>
    <t>1. ¿Existe evidencia documental (actas, comunicaciones, registros, contratos, entre otros) Por la cual el congreso reduce la jornada laboral a 42 horas en la organización?
2. ¿Se ha socializado con trabajadores, líderes y responsables del SG-SST el contenido y alcance de Ley 2101 de 15-07-2021 Por la cual el congreso reduce la jornada laboral a 42 horas y sus implicaciones en seguridad y salud en el trabajo?
3. ¿Los cambios o reformas a Ley 2101 de 15-07-2021 Por la cual el congreso reduce la jornada laboral a 42 horas se registran oportunamente en la matriz legal y se comunican a los procesos impactados?</t>
  </si>
  <si>
    <t xml:space="preserve">Ley 2121  </t>
  </si>
  <si>
    <t xml:space="preserve">Congreso crea el régimen de trabajo remoto y se establecen normas para promoverlo, regularlo y se dictan otras disposiciones </t>
  </si>
  <si>
    <t xml:space="preserve">Artículos 4 - 5 - 6 - 8 y 10 </t>
  </si>
  <si>
    <t>Se cuenta con evidencia documental sobre los siguientes aspectos :                             1. La empresa aplica límites de jornada laboral para trabajadores en trabajo en casa, garantizando que no excedan los horarios establecidos
2. Se cuenta con un protocolo o política de desconexión laboral que contempla tiempos de descanso, pausas activas y horarios fuera de conexión.
3. Se puede verificar que jefes y supervisores respetan el derecho a la desconexión laboral, evitando comunicaciones fuera del horario laboral.Los trabajadores en trabajo en casa tienen acceso a los mismos programas del SG-SST (inducción, capacitaciones, pausas activas, reportes de accidentes).
4. Se cuenta con evidencia que La empresa garantiza igualdad en el acceso a beneficios, descansos, permisos, comisiones y evaluaciones de desempeño para quienes laboran en casa.a empresa establece por escrito quién provee las herramientas de trabajo (equipos, software, conexión, insumos).
5. Se cuenta con evidencia sobre losl trabajadores que  aportan herramientas propias, existe un acuerdo escrito que defina compensaciones o auxilios?      6. Se realiza identificación y valoración de peligros en el puesto de trabajo en casa, así sea mediante autoevaluación guiada o visita autorizada.
7. El trabajador recibe capacitación sobre riesgos ergonómicos, psicosociales y físicos propios del trabajo en casa.</t>
  </si>
  <si>
    <t xml:space="preserve">Decreto 555  </t>
  </si>
  <si>
    <t>Adiciona el trabajo remoto y desconexión laboral al D. 1072</t>
  </si>
  <si>
    <t xml:space="preserve">ARTÍCULO 2.2.1.6.6.3. 
Puntos 1- 5  </t>
  </si>
  <si>
    <t xml:space="preserve">1. ¿El SG-SST incorpora los requisitos establecidos  sobre el trabajo remoto y desconexión laboral dentro de sus procedimientos, estándares y controles operativos?
2.Se ha verificado el cumplimiento del contenido del contrato de trabajo remoto. El cual debe contener por lo menos las siguientes cláusulas:   Las funciones que debe desarrollar el trabajador./Las condiciones de trabajo, esto es, las condiciones físicas del puesto de trabajo en el que se prestará el servicio contratado./ La relación de los elen1entos de trabajo que se entregarán al trabajador remoto para el desarrollo efectivo de sus funciones, dentro de los que se incluyen las herramientas tecnológicas, instrumentos, equipos, conexiones y programas, así como el costo del auxilio que pagará el empleador para compensar el costo de los servicios de energía e internet y/o telefonía utilizados en la prestación del servicio contratado./ Las responsabilidades en cuanto a la custodia de los elementos de trabajo y el procedimiento para la entrega y su devolución por parte del trabajador remoto./ Las medidas de seguridad informática que debe conocer y cumplir el trabajador remoto./ Las circunstancias excepcionales en que se podrá requerir al trabajador para que concurra al centro de trabajo, de acuerdo con lo señalado en el artículo 16 de la Ley 2121 de 2021. Dentro de estas, podrán incluirse la ejecución de actividades recreativas, culturales y de bienestar a las que el trabajador deba asistir al centro de trabajo o al sitio recreativo que el empleador disponga.
</t>
  </si>
  <si>
    <t>Resolución 3031</t>
  </si>
  <si>
    <t>Actualización de la autorización para laborar horas extras</t>
  </si>
  <si>
    <t>Artículo 1.</t>
  </si>
  <si>
    <t xml:space="preserve">Circular 69  </t>
  </si>
  <si>
    <t>Criterios para autorizar o negar solicitudes para laborar horas extras</t>
  </si>
  <si>
    <t xml:space="preserve">A. Respecto de la solicitud. Numerales 1-6                                                                           B. Respecto del Trámite Numerales 1-3  C. Respecto de la decisión Numerales 1-4                                                                                  </t>
  </si>
  <si>
    <t>1. La empresa cuenta con la certificación de la ARL y verificación de que las horas extra no aumentan riesgos físicos, psicosociales o ergonómicos.
2.La empresa lleva registro diario de horas extra, cumplir con lo autorizado y no exceder ni ejecutar horas extras sin aprobación vigente.</t>
  </si>
  <si>
    <t xml:space="preserve">Resolución 0921 de 2025 </t>
  </si>
  <si>
    <t>Por la cual se fijan las tarifas para el cobro de los servicios de evaluación y seguimiento de licencias ambientales, permisos, autorizaciones y demás instrumentos de control y manejo ambiental y se dictan otras disposiciones”</t>
  </si>
  <si>
    <t xml:space="preserve">
1. Verificar que HOLCIM cumpla todas las obligaciones específicas otorgadas por la ANLA:Límites de producción/ Actividades autorizadas/ Condiciones técnicas de operación.                                                                                                                                                                   2. La empresa ha implementado todas las medidas exigidas como: 
Control de emisiones atmosféricas (material particulado en plantas de cemento)./ Manejo de vertimientos y aguas /Gestión de residuos y subproductos industriales.                                3.  Se cuenta con implementación  todas las medidas exigidas:Control de emisiones atmosféricas (material particulado en plantas de cemento)/ Manejo de vertimientos y aguas. / Gestión de residuos y subproductos industriales. 3. Comprobar que HOLCIM realice los monitoreos exigidos (aire, ruido, agua, vibración, etc.), Entregue informes periódicos en los plazos oficiales y mantenga trazabilidad de datos ambientales y registros de laboratorio acreditados.</t>
  </si>
  <si>
    <t>Capitulo I</t>
  </si>
  <si>
    <t xml:space="preserve">Ambiental </t>
  </si>
  <si>
    <t xml:space="preserve">Reglamenta condiciones de participación comunitaria en mesas de trabajo regionales (CONALDEF). Importante en el relacionamiento socioambiental de proyectos (canteras/plantas). </t>
  </si>
  <si>
    <t xml:space="preserve">Resolución 0175 </t>
  </si>
  <si>
    <t xml:space="preserve">Artículos 4-5-6 y 7 </t>
  </si>
  <si>
    <t xml:space="preserve">1. ¿La empresa ha identificado los requisitos específicos de Resolución 0175 de 2025 – MADS. Reglamenta condiciones de participación comunitaria en mesas de trabajo regionales (CONALDEF). Importante en el relacionamiento socioambiental de proyectos (canteras/plantas). que aplican a su actividad económica y tamaño?
2. ¿Se dispone de procedimientos, instructivos o formatos que permitan cumplir con las exigencias técnicas y administrativas de Resolución 0175 de 2025 – MADS. Reglamenta condiciones de participación comunitaria en mesas de trabajo regionales (CONALDEF). Importante en el relacionamiento socioambiental de proyectos (canteras/plantas).?
3. ¿Existen registros (informes, actas, listados, certificados, reportes en plataformas) que evidencien el cumplimiento de Resolución 0175 de 2025 – MADS. Reglamenta condiciones de participación comunitaria en mesas de trabajo regionales (CONALDEF). Importante en el relacionamiento socioambiental de proyectos (canteras/plantas).?
4. ¿Los responsables del SG-SST realizan seguimiento periódico a los ítems de Resolución 0175 de 2025 – MADS. Reglamenta condiciones de participación comunitaria en mesas de trabajo regionales (CONALDEF). Importante en el relacionamiento socioambiental de proyectos (canteras/plantas). incluidos en la matriz legal y documentan los resultados?
5. ¿Se han comunicado los requisitos de Resolución 0175 de 2025 – MADS. Reglamenta condiciones de participación comunitaria en mesas de trabajo regionales (CONALDEF). Importante en el relacionamiento socioambiental de proyectos (canteras/plantas). a los trabajadores, contratistas y proveedores que se ven impactados por esta norma?
6. ¿Las no conformidades asociadas al cumplimiento de Resolución 0175 de 2025 – MADS. Reglamenta condiciones de participación comunitaria en mesas de trabajo regionales (CONALDEF). Importante en el relacionamiento socioambiental de proyectos (canteras/plantas). generan acciones correctivas o de mejora con responsables y fechas definidas? 6. La empresa condiciona la participación comunitaria formal en espacios de diálogo social ambiental (mesas de trabajo regionales del CONALDEF)?     7. Establece quiénes pueden intervenir como comunidad local u organizaciones sociales?                                                                                                                                             8. Obliga a convocatorias de participación con anticipación, con información clara — por lo que HOLCIM debe estar atenta a estos procesos si su proyecto geográfico coincide con áreas priorizadas.                                                                                                                                                              9. Permite que comunidades involucradas ejerzan vigilancia social ante riesgos como deforestación, contaminación o impacto ambiental — lo que puede requerir ajustes en planes de relacionamiento comunitario, cumplimiento ambiental y responsabilidad social? </t>
  </si>
  <si>
    <t xml:space="preserve">Ajustes técnicos a la Plataforma de Trazabilidad de Minerales y etapas de control (incide en reportes y debida diligencia en la cadena). </t>
  </si>
  <si>
    <t xml:space="preserve">Resolución 1549 </t>
  </si>
  <si>
    <t xml:space="preserve">Artículos 1 y 2 </t>
  </si>
  <si>
    <t>Vigilancia epidemiológica: Historia Clínica - Evaluaciones médicas.                 Mintrabajo regula la práctica de los exámenes médicos ocupacionale</t>
  </si>
  <si>
    <t xml:space="preserve">Resolución 1843 </t>
  </si>
  <si>
    <t xml:space="preserve">Artículo  5                                                           Artículo 7 - 20                                                            </t>
  </si>
  <si>
    <t xml:space="preserve">1. La empresa ha cumplido lo siguiente respecto a los exámenes médicos ocupacionales y se cuenta con un registro dando cuenta de lo siguiente: Artículo 5°. Responsabilidades de los empleadores y contratantes. Las responsabilidades de los empleadores y contratantes conforme a la presente resolución son:1. La empresa ha asumido  el costo de las evaluaciones médicas laborales, así como de las pruebas complementarias relacionadas con dicho examen, requeridas por el médico evaluador, salvo lo establecido en el artículo 2.2.4.2.2.18 del Decreto número 1072 de 2015 en virtud de los contratos de prestación de servicios. 2. La empresa ha asumido el costo de los desplazamientos y manutención (alojamiento y alimentación) para la realización de las evaluaciones médicas ocupacionales periódicas en caso de requerirse traslados intermunicipales. 3. La empresa ha realizado y programado las evaluaciones médicas ocupacionales periódicas, durante los horarios de trabajo establecidos en la jornada laboral. 4. La empresa ha informado  a los prestadores de Servicios de Medicina de Seguridad y Salud en el Trabajo o al médico que realiza las evaluaciones ocupacionales, los perfiles de cargos con una descripción de las tareas y el medio en el cual se desarrollará la labor respectiva, el empleador conservará evidencia documental de dicha remisión como parte de los registros del Sistema de Gestión de Seguridad y Salud en el Trabajo, de conformidad con lo establecido en la Resolución número 0312 de 2019 y el Decreto número 1072 de 2015 o la norma que lo modifique, sustituya o adicione.
5. La empresa ha Implementado los Sistemas de Vigilancia Epidemiológica en el marco de Sistema de Gestión de Seguridad y Salud en el Trabajo de acuerdo con los riesgos de la empresa y el diagnóstico de condiciones de salud.6. La empresa ha adaptado  las condiciones de trabajo y medio ambiente laboral según las recomendaciones y/o restricciones emitidas en el concepto ocupacional en un término no superior a veinte (20) días hábiles, posterior a la realización de las evaluaciones médicas ocupacionales.
7. La empresa ha incluído dentro de las actividades del Sistema de Gestión de Seguridad y Salud en el Trabajo, campañas específicas, tendientes a fomentar la prevención y el control de fármaco dependencia, el alcoholismo y el tabaquismo, dirigidas a sus trabajadores. 8. Se cuenta con evidencia de comunicación efectiva a los trabajadores sobre sus responsabilidades derivadas de los exámenes médicos que se listan a continuación: Procurar el cuidado integral de su salud atendiendo las recomendaciones y/o restricciones emitidas por el médico evaluador tanto en el ámbito intralaboral como en el extralaboral / Suministrar información clara, veraz y completa sobre su estado de salud, paraclínicos, e historias clínicas, recomendaciones o restricciones médicas, y los diagnósticos de las patologías que presente al momento de la realización de las evaluaciones médicas ocupacionales./ Cumplir las normas, reglamentos e instrucciones del Sistema de Gestión de la Seguridad y Salud en el Trabajo de la empresa, incluye el uso correcto de los elementos de protección personal que su trabajo amerite./ Informar oportunamente al empleador o contratante y al Comité Paritario de Seguridad y Salud en el Trabajo (COPASST) o Vigía de Seguridad y Salud en el Trabajo, acerca de los peligros y riesgos latentes en su sitio de trabajo./  Asistir a las evaluaciones médicas ocupacionales programadas por el empleador dentro de la jornada laboral establecida, su incumplimiento acarreara sanciones de abuso del derecho conforme a la normatividad vigente. 9. La empresa da cumplimiento a las situaciones en las cuales se debe cumplir con los exámenes médicos ocupacionales y cuenta con la documentación e historial de los trabajadores en lo relacionado a los difererentes tipos de exámenes como: a) Evaluación médica de pre-ingreso.
b) Evaluaciones médicas periódicas (programadas o por cambios de ocupación).c) Evaluación médica de egreso.d) Evaluación médica post-incapacidad.
e) Evaluación médica por retorno laboral 10.  Se cuenta con una programación y matriz de verificación donde se registren todos los trabajadores o documentación similar donde se  ha definido la periodicidad de las evaluaciones médicas ocupacionales, sin que supere en caso excepcional tres (3) años,  periodo que esta justificado técnicamente y de acuerdo con las características de la exposición a los factores de riesgo, conforme a la identificación de peligros, evaluación valoración y control de los riesgos, en lo cual ha  contado  con la asistencia técnica de la Administradora de Riesgos Laborales (ARL) a la cual se encuentra a afiliada ? </t>
  </si>
  <si>
    <t>Por la cual se establecen normas para el manejo de la Historia Clínica.</t>
  </si>
  <si>
    <t xml:space="preserve">Historia clínica </t>
  </si>
  <si>
    <t>Resolución 1995</t>
  </si>
  <si>
    <t>Artículos  1 - 22</t>
  </si>
  <si>
    <t xml:space="preserve">1. La empresa cuenta con evidencia documental , procedimiento o política documentada y divulgada  sobre el acceso a la información de la historia clínica, lo cual aplica también a los exámenes preocupacionales y periódicos de los trabajadores, que deben ser custodiados y  donde se da cuenta que su acceso está restringido a personas autorizadas en el marco de la matriz de SST? 
2.  La empresa ha garantizado la custodia y seguridad reconociendo la obligación de archivar las historias clínicas en un área restringida con acceso limitado, lo cual es aplicable a la custodia de los exámenes de salud ocupacional de los trabajadores. </t>
  </si>
  <si>
    <t>Unificar las instrucciones para la vigilancia, control y administración del Sistema General de Riesgos Profesionales.</t>
  </si>
  <si>
    <t xml:space="preserve">1. La empresa puede  demostrar que su SG-SST está documentado y ejecutado conforme a las obligaciones mínimas del empleador establecidas en la circular (política, responsabilidades, recursos, programas de prevención, capacitación, registros).Evidencias como : Política SST, plan anual, indicadores, responsabilidades asignadas, recursos demostrables. 2. HOLCIM cuenta con las investigaciones de todos los accidentes e incidentes utilizando metodología técnica, con análisis de causas, acciones correctivas y verificación del cierre.  3. Existe implementación real de programas de vigilancia para riesgos prioritarios (osteomuscular, cardiovascular, psicosocial, ruido, sustancias químicas), con análisis de datos, intervenciones y seguimiento.  4. la empresa cuenta con Listas de asistencia, mallas de formación, evaluaciones de aprendizaje que  demuestra la capacitación periódica en riesgos, emergencias, COPASST, trabajo seguro, uso de EPP y factores de riesgo específicos de la industria del cemento/minería. 5. La empresa cuenta con Inventarios, registros de entrega, fichas técnicas, observaciones de conducta segura, donde el empleador garantice la  selección adecuada del EPP, reposición, capacitación y verificación de uso 6. La empresa debe contar con un plan de emergencias actualizado, con brigada entrenada y simulacros documentados, para lo cual cuenta con : Plan de emergencias, actas de simulacros, certificados de capacitación.7. La empresa ha  verificado que contratistas cumplan SST, tengan inducción y seguimiento, conforme a lo indicado en la circular. (Inducciones, contratos con cláusulas SST, resultados de auditorías externas.)  8. La empresa cuenta con reportes, radicados, tiempos de respuesta de los cuales ha reportado accidentes graves, mortales, enfermedades laborales e incapacidades según los lineamientos de la circular.
</t>
  </si>
  <si>
    <t xml:space="preserve">Numerales 1- 7 </t>
  </si>
  <si>
    <t xml:space="preserve">Resolución 2844 de 2007. </t>
  </si>
  <si>
    <t xml:space="preserve">Artículo 1. </t>
  </si>
  <si>
    <t xml:space="preserve">1. ¿La empresa ha identificado los criterios sobre predicción y control de las enfermedades laborales Dolor lumbar inespecífico y enfermedad discal relacionados con la manipulación manual de cargas y otros factores de riesgo en el lugar de trabajo;
Desórdenes músculo-esqueléticos relacionados con movimientos repetitivos de miembros superiores;  (Síndrome de Túnel Carpiano, Epicondilitis y Enfermedad de De Quervain, Hombro doloroso relacionado con factores de riesgo en el trabajo;Neumoconiosis ; silicosis, neumoconiosis del minero de carbón y asbestosis; e Hipoacusia neurosensorial inducida por ruido en el lugar de trabajo ) los cuales están establecidas en  las Guías de Atención Integral de Salud Ocupacional Basadas en la Evidencia que aplican a su actividad económica y tamaño?
2. ¿Se dispone de procedimientos, instructivos o formatos que permitan cumplir con las exigencias técnicas y administrativas de Resolución 2844 de 2007. Por la cual se adoptan las Guías de Atención Integral de Salud Ocupacional Basadas en la Evidencia?
3. ¿Existen registros (informes, actas, listados, certificados, reportes en plataformas) que evidencien el cumplimiento de Resolución 2844 de 2007. Por la cual se adoptan las Guías de Atención Integral de Salud Ocupacional Basadas en la Evidencia en sus evaluaciones periódicas - monitoreo - sistema de vigilancia y programas de prevención de enfermedades? 
</t>
  </si>
  <si>
    <t>Resolución 4272 .                                     Nota. Deroga en gran parte la Resolución 2400 de 1979 y la Resolución 1409 de 2012).</t>
  </si>
  <si>
    <t xml:space="preserve"> Por la cual se reglamenta el conjunto de elementos de datos clínicos relevantes para la interoperabilidad de la historia clínica en el país y se dictan otras disposiciones</t>
  </si>
  <si>
    <t xml:space="preserve">Resolución 866 </t>
  </si>
  <si>
    <t xml:space="preserve">Artículos 2.3.4. y 5. </t>
  </si>
  <si>
    <t>Evaluaciones médicas las paga empleador o contratante Min trabajo habilita mecanismos para reportar conductas contrarias</t>
  </si>
  <si>
    <t xml:space="preserve">Examenes médicos </t>
  </si>
  <si>
    <t>Circular-0015</t>
  </si>
  <si>
    <t xml:space="preserve">Puntos 1, 2 y 3 </t>
  </si>
  <si>
    <t>1. ¿La empresa conoce y ha analizado los lineamientos impartidos en la circular la cual indica que las Evaluaciones médicas las paga  el empleador o contratante  y que Min trabajo ha habilitado  mecanismos para reportar conductas contrarias frente a su actividad y condiciones de trabajo?
2. La empresa cuenta con registros sobre los diferentes tipos de evaluaciones según La Resolución 2346 de 2007 efectúa una clasificación de los exámenes en tres tipos:
Evaluación médica preocupacional o de preingreso.
Evaluaciones médicas ocupacionales periódicas (programadas o por cambios de ocupación).
Evaluación médica postocupacional o de egreso.</t>
  </si>
  <si>
    <t>Modifica la ley 1384 de 2010 reconociendo para los efectos de esta ley, como sujetos de especial protección constitucional a las personas con sospecha de cáncer o diagnosticadas con cáncer.</t>
  </si>
  <si>
    <t xml:space="preserve">Ley 2360 </t>
  </si>
  <si>
    <t xml:space="preserve">Artículo 3  </t>
  </si>
  <si>
    <t xml:space="preserve">1. ¿La empresa ha identificado y documentado en la matriz legal las obligaciones derivadas de Ley 2360 del 14-06-2024 reconociendo para los efectos de esta ley, como sujetos de especial protección constitucional a las personas con sospecha de cáncer o diagnosticadas con cáncer. y su relación con el SG-SST?
2. ¿Las políticas, procedimientos y programas del SG-SST con evidencia documental que incorporan de forma explícita los lineamientos a tener en cuenta para la protección constitucional a las personas con sospecha de cáncer o diagnosticadas con cáncer.?
</t>
  </si>
  <si>
    <t>Salud en las empresa</t>
  </si>
  <si>
    <t xml:space="preserve"> Higiene y Seguridad</t>
  </si>
  <si>
    <t xml:space="preserve">Ley 962 </t>
  </si>
  <si>
    <t xml:space="preserve">Artículo 25. </t>
  </si>
  <si>
    <t xml:space="preserve">Resolución 2400 </t>
  </si>
  <si>
    <t xml:space="preserve">Ley 1010 </t>
  </si>
  <si>
    <t xml:space="preserve">Salud mental </t>
  </si>
  <si>
    <t xml:space="preserve">Artículos 2, 3, 7 , 10, 11 , 12                 Artículo 9 . Comité de convivencia </t>
  </si>
  <si>
    <t xml:space="preserve">1. La empresa cuenta con políticas, procedimientos y mecanismos preventivos documentados y formales para identificar, gestionar y evitar conductas constitutivas de acoso laboral que incluyen además los siguientes items  2. La empresa reconoce e incorpora en su reglamento interno las modalidades de acoso laboral definidas por la ley (maltrato, persecución, discriminación, entorpecimiento, inequidad, desprotección).3. La empresa tiene conformado y funcionando el Comité de Convivencia Laboral, con actas, capacitaciones y protocolos de atención de quejas conforme a los lineamientos de la Ley 1010 y resoluciones complementarias (2646/2008 – 652/2012).4. La empresa implementa medidas para proteger la identidad, estabilidad laboral y bienestar de los trabajadores que reportan posibles casos de acoso laboral. 5. El reglamento interno de trabajo contempla medidas disciplinarias proporcionales para conductas asociadas al acoso laboral según lo definido por la Ley 1010.    6. La empresa realiza seguimiento a los acuerdos, compromisos y acciones correctivas originadas por el Comité de Convivencia o por la gestión interna para eliminar condiciones que favorezcan el acoso laboral? </t>
  </si>
  <si>
    <t>Decreto 1295</t>
  </si>
  <si>
    <t>Por el cual se determina la organización y administración del Sistema General de Riesgos Profesionales.</t>
  </si>
  <si>
    <t>Artículos 4, 5, 5d , 7 , 8. 21, 22, 26, 27 , 28 , 41, 43, 51, 56 , 62, 63 , 65, 80 ,91</t>
  </si>
  <si>
    <t xml:space="preserve"> 1. La empresa tiene en cuenta artículos que continúan vigentes sobre las obligaciones de reportar accidentes, la protección a los trabajadores y las sanciones por incumplimiento ? 2. La empresa puede demostrar que todos los trabajadores dependientes y contratistas deben estar afiliados a la ARL desde el inicio de actividades, sin lapsos, y según el nivel de riesgo correspondiente? . 3. La empresa está correctamente clasificada en la actividad económica según el nivel de riesgo; las cotizaciones se pagan de acuerdo con dicho nivel y sin retrasos.? 4. HOLCIM implementa medidas de prevención, capacita a los trabajadores, reporta condiciones peligrosas y desarrolla actividades para evitar accidentes y enfermedades laborales. 5. La empresa reporta oportunamente accidentes de trabajo (AT) y enfermedades laborales (EL) a la ARL dentro de los plazos legales y con registros completos.6. HOLCIM investiga todos los accidentes y eventos relacionados, implementa correctivos y remite la información cuando la ARL o MinTrabajo lo requiere. 7. La empresa mantiene programas de seguridad y salud en el trabajo articulados con la ARL, con acciones preventivas específicas según su riesgo minero–industrial? 8. La empresa se apoya en las obligaciones de la ARL , quien brinda asesoría en prevención, capacitación e investigación de causas y la empresa documenta el uso de estos servicios?  9. El empleador facilita procesos de rehabilitación y reincorporación de trabajadores lesionados o enfermos conforme a recomendaciones profesionales? 10. La empresa asegura que los trabajadores reciban atención inmediata, incapacidad, indemnización y demás prestaciones establecidas para AT y EL.? 11. En cuanto a las responsabilidades del empleador frente a los incumplimientos ,la empresa tiene plan de prevención ante las  negligencias en la prevención del riesgo y conoce que HOLCIM debe asumir costos adicionales o indemnizaciones según el fallo? 
</t>
  </si>
  <si>
    <t xml:space="preserve">Decreto 2351 </t>
  </si>
  <si>
    <t xml:space="preserve"> Artículo. 16</t>
  </si>
  <si>
    <t>Modifica el Código Sustantivo del Trabajo en materia de jornadas, descansos y trabajo suplementario.</t>
  </si>
  <si>
    <t xml:space="preserve">Artículos 1, 2 ,4,5 y 6 </t>
  </si>
  <si>
    <t xml:space="preserve">1. La empresa cumple la jornada máxima legal (ordinaria) y respeta los límites de horas diarias y semanales establecidos en el CST?  2. HOLCIM lleva un registro diario, verificable y firmado de las horas suplementarias trabajadas por cada colaborador? 3. La empresa garantiza el descanso dominical y festivo obligatorio, y compensa adecuadamente cuando se labora en dichos días. 4. HOLCIM asegura que ningún trabajador exceda la jornada y los recargos máximos permitidos por ley, incluso con consentimiento del trabajador? </t>
  </si>
  <si>
    <t>Ley 776</t>
  </si>
  <si>
    <t>Regula la organización, administración y prestaciones del Sistema General de Riesgos Profesionales en Colombia, estableciendo los derechos a asistenciales y económicos para los trabajadores que sufran un accidente o enfermedad laboral.</t>
  </si>
  <si>
    <t xml:space="preserve">ATEL </t>
  </si>
  <si>
    <t>Artículo 2  , 3, 4, 5, 12 y 17</t>
  </si>
  <si>
    <t xml:space="preserve">1. Se cuenta con mecanismos de verificación  que los casos AT/EL tengan registro de atención integral y sin barreras administrativas? 2. Se hace seguimiento para confirmar que la empresa y ARL gestionen incapacidades y prestaciones según tiempos y procedimientos?  3. La empresa ha verificado que los pagos sean oportunos y que la empresa no asuma costos del sistema?   4. La empresa ha hecho seguimiento a procesos de calificación , para que hayan sido adecuados y seguimiento a tiempos de emisión del dictamen? 5. La empresa ha cumplido y verificado el proceso y protocolos de reincorporación laboral y adaptaciones razonables? 6. La empresa cumple con programas de reincorporación y ubicación laboral acorde con capacidades residuales? </t>
  </si>
  <si>
    <t>Decreto 019</t>
  </si>
  <si>
    <t xml:space="preserve">Artículo 23, 124 </t>
  </si>
  <si>
    <t xml:space="preserve">1. La empresa tiene presente que se ha  eliminado  la exigencia de la antigua “tarjeta de trabajo en alturas,  que la capacitación sigue siendo obligatoria, pero sin formalismo de tarjeta emitida por el SENA.  De acuerdo a lo anterio verificar si se cuenta con evidencias de capacitación, certificación del curso y evaluaciones. (No se debe exigir tarjeta; solo la formación vigente del Ministerio del Trabajo (Resolución 4272 de 2021)  2.  La empresa cuenta con una matriz de peligros alineada con exámenes médicos ?  3. la empresa ha evitado pruebas no pertinentes (por ejemplo: VIH, embarazo, tóxicos sin exposición real). 
</t>
  </si>
  <si>
    <t>Por el cual se dictan normas para suprimir o reformar regulaciones, procedimientos y trámites innecesarios existentes en la Administración Pública.</t>
  </si>
  <si>
    <t xml:space="preserve">Decreto 1333 </t>
  </si>
  <si>
    <t> Reglamenta el pago de las incapacidades médicas superiores a 540 días,</t>
  </si>
  <si>
    <t xml:space="preserve">Artículo único </t>
  </si>
  <si>
    <t>Reconocimiento de incapacidad. Cuando ésta sea por riesgos laboral, después de 540 días, la ARL paga también salud y pensión</t>
  </si>
  <si>
    <t xml:space="preserve">Circular 010 </t>
  </si>
  <si>
    <t xml:space="preserve">Punto 4 - 7 </t>
  </si>
  <si>
    <t xml:space="preserve">Artículos 4, 5  6- 7 hasta el 14 ,  15 y 21 , 25 , 26   y Anexo técnico </t>
  </si>
  <si>
    <t xml:space="preserve">1.La empresa ha gestionado el programa de rehabilitación integral, garantizando la participación del trabajador y ha comunicado  el cumplimiento al asegurador.                                                                        2. Se cuenta con la evidencia sobre la comunicación , información que se le ha entregado al trabajador sobre sus responsabilidades en el programa de rehabilitación integral? 3.Se conocen las sanciones aplicables en caso de incumplimiento de la resolución por parte de los distintos actores involucrados? se cuenta con evidencia de la socialización de esta norma en la empresa y especialmente con directivos a cargo del área? 4. HOLCIM cuenta con un procedimiento formal Procedimiento escrito que identifica Roles definidos (empleador, trabajador, médico laboral, ARL).
Flujo del proceso.para la identificación temprana, rehabilitación y reincorporación laboral, integrado al SG-SST.   5. Se realizan planes individuales de rehabilitación evidenciados mediante evaluaciones clínicas&amp; funcionales/Planes individuales emitidos por profesional competente/ Seguimiento documentado del caso y su proceso 6. HOLCIM cuenta con registro documental de Análisis de puesto de trabajo (APT)/ Matriz de restricciones laborales/ Evidencia de ajustes o modificaciones realizadas / Comité de Reincorporación en funcionamiento que aplica ajustes razonables y reubicaciones en función del análisis de puesto de trabajo y las capacidades del trabajador. con base en diagnóstico funcional, restricciones y capacidades del trabajador?      7.  El reintegro es documentado mediante : Acta de reintegro/ Plan de seguimiento / Registros de acompañamiento del médico laboral / SST  proceso realizado de manera gradual y con seguimiento periódico para verificar la adaptación al cargo o a uno nuevo.   8. HOLCIM cumple sus obligaciones de Facilitar rehabilitación./ Implementar recomendaciones médicas./ Reportar a la ARL./ Garantizar no discriminación laboral. 9. HOLCIM garantiza mediante evidencias como Soportes de estabilidad laboral reforzada, la documentación de procesos disciplinarios, respetando las garantías de los  trabajadores que presentan limitaciones no sean despedidos ni discriminados sin agotar el proceso legal.  10.  El proceso de rehabilitación/reintegro está integrado al SG-SST, con indicadores, registros y revisión por la alta dirección, lo cual puede ser verificado mediante Indicadores de reincorporación Plan anual SST incluye reintegro / Informes de gestión para auditorías internas.
</t>
  </si>
  <si>
    <t xml:space="preserve">Decreto 1427 </t>
  </si>
  <si>
    <t>Reglamenta las prestaciones económicas del Sistema General de Seguridad Social en Salud en Colombia, estableciendo las reglas para la expedición, reconocimiento y pago de licencias de maternidad y paternidad e incapacidades de origen común.</t>
  </si>
  <si>
    <t xml:space="preserve">Artículo 2.2.3.1.1.                                                      	</t>
  </si>
  <si>
    <t xml:space="preserve">Decreto 2126 </t>
  </si>
  <si>
    <t xml:space="preserve">Título 3. </t>
  </si>
  <si>
    <t xml:space="preserve">Ley 378 </t>
  </si>
  <si>
    <t xml:space="preserve">Artículo 13. </t>
  </si>
  <si>
    <t xml:space="preserve">Artículo 5 </t>
  </si>
  <si>
    <t xml:space="preserve">Decreto 1127 </t>
  </si>
  <si>
    <t>Decisión 584</t>
  </si>
  <si>
    <t>Artículo 2.2.4.6.11.</t>
  </si>
  <si>
    <t>Decreto 1072</t>
  </si>
  <si>
    <t xml:space="preserve">Circular 63 </t>
  </si>
  <si>
    <t>Actualización de la capacitación curso virtual 20 horas de carácter gratuito del SG-SST</t>
  </si>
  <si>
    <t>Congreso adopta medidas para fomentar entornos alimentarios saludables y prevenir enfermedades no transmisibles y se adoptan otras disposiciones Art. 12 Implementación de entornos laborales saludables</t>
  </si>
  <si>
    <t xml:space="preserve">Ley 2120 </t>
  </si>
  <si>
    <r>
      <t>L</t>
    </r>
    <r>
      <rPr>
        <b/>
        <sz val="11"/>
        <rFont val="Calibri"/>
        <family val="2"/>
        <scheme val="minor"/>
      </rPr>
      <t>ey comida chatarra y etiquetado Entornos alimentarios saludables: Impulsa la creación de entornos saludables en espacios como los colegios, promoviendo la accesibilidad a alimentos nutritivos y la reducción de la disponibilidad de productos poco saludables.</t>
    </r>
    <r>
      <rPr>
        <sz val="11"/>
        <rFont val="Calibri"/>
        <family val="2"/>
        <scheme val="minor"/>
      </rPr>
      <t xml:space="preserve"> No aplica </t>
    </r>
  </si>
  <si>
    <t xml:space="preserve">Circular 47 </t>
  </si>
  <si>
    <t>Actualización curso 50/20 horas del SG-SST</t>
  </si>
  <si>
    <t>Artículos .12, 16, 17,18 ,22</t>
  </si>
  <si>
    <t xml:space="preserve">Decreto Único Reglamentario (DUR) del Sector Salud y Protección Social </t>
  </si>
  <si>
    <t xml:space="preserve">Decreto 780 </t>
  </si>
  <si>
    <t>Libro 2, Parte 2, Título 4, Capítulo 6. Artículo 2.2.4.6.1 al 2.2.4.6.38</t>
  </si>
  <si>
    <t>1. La empresa  ha establecido mediante diferentes estrategias  la mejora continua, la auditoría y la revisión por la alta dirección.
 2. Se puede demostrar que se ha dado cumplimiento a las responsabilidades del empleador, incluyendo la asignación de recursos, la definición de una política de SST, la rendición de cuentas, y la garantía de participación de los trabajadores.
Componentes del SG-SST: Regula los elementos esenciales del sistema, tales como:
Planificación, organización y evaluación.
Gestión de peligros y riesgos (identificación, evaluación y control).
Prevención y preparación ante emergencias.
Investigación de incidentes y accidentes de trabajo.
Medidas de prevención y promoción de la salud.</t>
  </si>
  <si>
    <t xml:space="preserve">Decreto 1406 </t>
  </si>
  <si>
    <t>Seguridad social</t>
  </si>
  <si>
    <t>Reglamenta el Registro Único de Aportantes (RUA) al Sistema de Seguridad Social Integral y adopta disposiciones relacionadas con la autoliquidación y pago de aportes</t>
  </si>
  <si>
    <t xml:space="preserve">1. La empresa conoce la existencia y utilidad del Registro Único de Aportantes (RUA): conoce las normas para la inscripción, administración y fines de este registro, que deben conformar las entidades administradoras para los distintos riesgos (salud, pensión, riesgos laborales)? 
2. La empresa controla y registra mes a mes la autoliquidación y pago de Aportes, definiendo  los mecanismos, formularios, lugares y plazos para la declaración y pago de los aportes al sistema, lo cual aplica tanto para grandes como para pequeños aportantes?
3. Se tiene en cuenta la Base de Cotización que incluye disposiciones sobre la base de ingreso para la cotización de trabajadores independientes y la liquidación de aportes en casos de incapacidades?  </t>
  </si>
  <si>
    <t xml:space="preserve">Art. 4, 5,8, 9 y 15 </t>
  </si>
  <si>
    <t xml:space="preserve">Decreto 993 </t>
  </si>
  <si>
    <t>Artículos .B9 (a, b)</t>
  </si>
  <si>
    <t xml:space="preserve">Circular unificada  </t>
  </si>
  <si>
    <t>Artículos  2.2.4.2.2.1  -  2.2.4.2.2.24</t>
  </si>
  <si>
    <t>Por la cual se unifican las reglas para el recaudo de aportes al SGSSI y Parafiscales</t>
  </si>
  <si>
    <t xml:space="preserve">1. ¿La empresa ha identificado los requisitos específicos de Resolución 2388 de 2016 Por la cual se unifican las reglas para el recaudo de aportes al SGSSI y Parafiscales que aplican a su actividad económica y tamaño?
2. ¿Se dispone de procedimientos, instructivos o formatos que permitan cumplir con las exigencias técnicas y administrativas de Resolución 2388 de 2016 Por la cual se unifican las reglas para el recaudo de aportes al SGSSI y Parafiscales?
3. ¿Existen registros (informes, actas, listados, certificados, reportes en plataformas) que evidencien el cumplimiento de Resolución 2388 de 2016 Por la cual se unifican las reglas para el recaudo de aportes al SGSSI y Parafiscales?
4.La empresa ha aplicado y conoce que se establecen normas unificadas para el pago de aportes al sistema de seguridad social (salud, pensión, riesgos laborales) y parafiscales (SENA, ICBF, Cajas de Compensación a través de esta norma ? </t>
  </si>
  <si>
    <t>Decreto Único Reglamentario del Sector Salud y Protección Social en Colombia. Su objetivo es compilar, racionalizar y actualizar todas las normas reglamentarias existentes en el sector para crear un solo cuerpo normativo, facilitando su consulta y aplicación.</t>
  </si>
  <si>
    <t xml:space="preserve">Parte 1 - Título 1. Artículo 2.1.1.1 	</t>
  </si>
  <si>
    <t xml:space="preserve">Resolución 2388 </t>
  </si>
  <si>
    <t xml:space="preserve">Por la cual se unifican las reglas para el recaudo de aportes al SGSSI y Parafiscales. Su objetivo principal es establecer y adoptar los anexos técnicos de la Planilla Integrada de Liquidación de Aportes (PILA). </t>
  </si>
  <si>
    <t xml:space="preserve">Artículo 1 y 2.                                           Anexo técnico 2. Aportes de cotizantes activos </t>
  </si>
  <si>
    <t xml:space="preserve">Resolución 978 </t>
  </si>
  <si>
    <t>Adopta el nuevo Formulario Único de Afiliación y Reporte de Novedades al Sistema General de Riesgos Laborales para trabajadores dependientes, independientes y estudiantes. Este formulario, que incluye un anexo técnico con el instructivo para su diligenciamiento, entró en vigor el 1 de agosto de 2023 y derogó la Resolución 881 de 2021. </t>
  </si>
  <si>
    <t>Minsalud definen las condiciones generales para la operación del SGRL en el Sistema de Afiliación Transaccional —SAT para la afiliación obligatoria y voluntaria de trabajadores independientes</t>
  </si>
  <si>
    <t xml:space="preserve">Resolución 1798 </t>
  </si>
  <si>
    <t xml:space="preserve">Artículos 1 , 2 y 3 </t>
  </si>
  <si>
    <t xml:space="preserve">Resolución 147 </t>
  </si>
  <si>
    <t>Adopta un nuevo Formulario Único de Afiliación y Reporte de Novedades al Sistema General de Riesgos Laborales. Esta resolución busca modernizar los procesos, actualizar la información y reconocer nuevas modalidades de trabajo como el trabajo en casa y el remoto. Entró en vigor a partir del primer día hábil del mes siguiente a su publicación, revocando la Resolución 978 de 2023</t>
  </si>
  <si>
    <t xml:space="preserve">Artículo 1 y 2                                                       Anexo técnico </t>
  </si>
  <si>
    <t xml:space="preserve">Resolución 1271  </t>
  </si>
  <si>
    <t xml:space="preserve">Artículo 1,2, 3 y 4 </t>
  </si>
  <si>
    <r>
      <t xml:space="preserve">Actualiza el PILA en relación con el aporte de los pensionados a salud. Se incluyen las siguientes modificaciones a la planilla de liquidación de aportes a la seguridad social, en los siguientes términos:
</t>
    </r>
    <r>
      <rPr>
        <sz val="10"/>
        <rFont val="Calibri"/>
        <family val="2"/>
        <scheme val="minor"/>
      </rPr>
      <t>Teniendo en cuenta que la L. 2294 de 2023 reduje el porcentaje de cotización de los pensionados del 12% al 10% se incluye esa tarifa en el Anexo Técnico de la R. 2388 de 2016.
Permite el recaudo de cotizaciones por parte del Régimen Especial de las universidades estatales u oficiales.
Modifica el campo “26-Licencia de Maternidad o Paternidad” para que en la licencia parental flexible las personas puedan aportar al Sistema de Riesgos Laborales</t>
    </r>
  </si>
  <si>
    <t xml:space="preserve">Resolución  221  </t>
  </si>
  <si>
    <t>Realiza ajustes a la liquidación de la Planilla Integrada de Liquidación de Aportes (PILA). Los principales cambios incluyen la implementación obligatoria de la validación de aportes al subsistema de Riesgos Laborales para la administradora correspondiente, la definición de la planilla de correcciones (tipo "N") para dirigir los aportes a la misma administradora inicial y ajustes informativos sobre la validación de aportes al subsistema de salud. </t>
  </si>
  <si>
    <t xml:space="preserve">Artículos 1, 2 y 3                                                 Anexo técnicos 1 y 2 </t>
  </si>
  <si>
    <t>1. ¿La empresa ha identificado los requisitos específicos de Resolución 221 del 15-02-2024 Min salud Por la cual se modifican los Anexos Técnicos 2 y 3 de la Resolución 2388 de 2016, 738 del 3-04-2024 Min salud por medio de la cual modifica el anexo técnico 2 de la Resolución 2388 de 2016. Esta nueva Resolución introduce cambios en la forma en la que los aportantes y operadores realizan la validación de los aportes al SGRL. que aplican a su actividad económica y tamaño?
2. ¿Se dispone de procedimientos, instructivos o formatos que permitan cumplir con las exigencias técnicas y administrativas de Resolución 221 del 15-02-2024 Min salud Por la cual se modifican los Anexos Técnicos 2 y 3 de la Resolución 2388 de 2016, 738 del 3-04-2024 Min salud por medio de la cual modifica el anexo técnico 2 de la Resolución 2388 de 2016. Esta nueva Resolución introduce cambios en la forma en la que los aportantes y operadores realizan la validación de los aportes al SGRL.?
3. ¿Existen registros (informes, actas, listados, certificados, reportes en plataformas) que evidencien el cumplimiento de Resolución 221 del 15-02-2024 Min salud Por la cual se modifican los Anexos Técnicos 2 y 3 de la Resolución 2388 de 2016, 738 del 3-04-2024 Min salud por medio de la cual modifica el anexo técnico 2 de la Resolución 2388 de 2016. Esta nueva Resolución introduce cambios en la forma en la que los aportantes y operadores realizan la validación de los aportes al SGRL.?
4. Aportes al Sistema General de Riesgos Laborales (SGRL): Se establecen nuevas validaciones en la PILA para asegurar que los aportes al SGRL se realicen a la Administradora de Riesgos Laborales (ARL) correcta, según la información registrada en el Sistema de Afiliación Transaccional (SAT). Esto beneficia a los trabajadores al garantizar que sus cotizaciones estén correctamente dirigidas a su ARL vigente.
Trabajadores Penitenciarios (Cotizante tipo "64"): Un cambio específico es la modificación del tipo de cotizante "64. Trabajador penitenciario" en la PILA. Esto permite el recaudo adecuado de aportes al SGRL para esta población específica, asegurando su cobertura de riesgos laborales.
Aportantes Independientes (Planilla tipo "P"): Se crean validaciones específicas para el uso de la planilla tipo "P", que es utilizada por los trabajadores independientes y/o personas con personal a cargo, con el fin de asegurar el uso correcto de esta planilla y la adecuada liquidación de sus aportes.Información para Pensionados: La resolución dispone que los Operadores de Información incluyan en la Base de Datos Única de Afiliados (BDUA) el estado y régimen de afiliación al SGSSS de los pensionados. Esto permite a los pagadores de pensiones informar a los jubilados sobre su situación y realizar ajustes si es necesario en las Entidades Promotoras de Salud (EPS</t>
  </si>
  <si>
    <t xml:space="preserve">Comités </t>
  </si>
  <si>
    <t>El comité paritario ya no requiere registro ante el ministerio.</t>
  </si>
  <si>
    <t>Artículo 63</t>
  </si>
  <si>
    <t>Min trabajo Incentivar la conformación inclusiva del COPASST</t>
  </si>
  <si>
    <t xml:space="preserve">Circular 25 </t>
  </si>
  <si>
    <t>Apartado aplicable: “Lineamientos para la elección, conformación y funcionamiento del Comité Paritario de Salud Ocupacional (COPASO / COPASST)”</t>
  </si>
  <si>
    <t xml:space="preserve">Libro 2, Parte 2, Título 4, Capítulo 6 – SG-SST- COPASST </t>
  </si>
  <si>
    <t xml:space="preserve"> fija las obligaciones y requisitos mínimos para realizar la investigación de incidentes y accidentes de trabajo.</t>
  </si>
  <si>
    <t>Resolución. 1401</t>
  </si>
  <si>
    <t xml:space="preserve">Artículos 1- 7 y 9 </t>
  </si>
  <si>
    <t>Artículo 10</t>
  </si>
  <si>
    <t>Código sustantivo del Trabajo .Prestar atención prioritaria a los accidentados)</t>
  </si>
  <si>
    <t xml:space="preserve">Decreto 873 DE 2001 </t>
  </si>
  <si>
    <t>Por el cual se promulga el Convenio número 161 sobre los Servicios de Salud en el Trabajo, adoptado por la 71ª Reunión de la Conferencia General de la Organización Internacional del Trabajo, OIT, Ginebra, 1985.</t>
  </si>
  <si>
    <t xml:space="preserve">Parte 1 hasta Parte 5 </t>
  </si>
  <si>
    <t>Accidente de TrabajoReportar el AT dentro 2 días hábiles)</t>
  </si>
  <si>
    <t>Resolución 156</t>
  </si>
  <si>
    <t>Artículo 3</t>
  </si>
  <si>
    <t>Accidente de Trabajo. Reportar simultáneamente a la EPS y ARL los accidentes.</t>
  </si>
  <si>
    <t xml:space="preserve">Artículo  62 </t>
  </si>
  <si>
    <t xml:space="preserve">Ley 9 de 1979 </t>
  </si>
  <si>
    <t>Accidente de Trabajo, Definición de accidente de trabajo.</t>
  </si>
  <si>
    <t xml:space="preserve">Accidente de Trabajo. Accidente de trabajo y enfermedad laboral con muerte del trabajador. </t>
  </si>
  <si>
    <t>Artículo 2.2.4.6.32                                   Artículo 2.2.4.1.6.                                      Artículo 2.2.4.1.7</t>
  </si>
  <si>
    <t xml:space="preserve">Decreto 1530 </t>
  </si>
  <si>
    <t xml:space="preserve">Artículo 4 </t>
  </si>
  <si>
    <t>Accidente de Trabajo.Estándares Mínimos del SG-SST</t>
  </si>
  <si>
    <t xml:space="preserve">Resolución 0312 </t>
  </si>
  <si>
    <t xml:space="preserve">Circular 69 </t>
  </si>
  <si>
    <t>Decreto  1072</t>
  </si>
  <si>
    <t xml:space="preserve">Teletrabajo </t>
  </si>
  <si>
    <t>Artículo 2.2.1.5.2                                             Artículo  2.2.1.5.8                                         Artículo 2.2.1.5.9.</t>
  </si>
  <si>
    <t>Libro 2, parte 2, título 1, capítulo 5.</t>
  </si>
  <si>
    <t xml:space="preserve">Ley 1221 </t>
  </si>
  <si>
    <t>Por la cual se establecen normas para promover y regular el Teletrabajo Tiene por objeto promover y regular el Teletrabajo como un instrumento de generación de empleo y autoempleo</t>
  </si>
  <si>
    <t>Artículos 1 y 2</t>
  </si>
  <si>
    <t>Circular 27</t>
  </si>
  <si>
    <t>Precisiones sobre la implementación del teletrabajo</t>
  </si>
  <si>
    <t xml:space="preserve">Decreto  1227  </t>
  </si>
  <si>
    <t>Mintrabajo modifica normas del teletrabajo.Modificación de los artículos 2.2.1.5.3, 2.2.1.5.5, 2.2.1.5.8 y 2.2.1.5.9 del Decreto 1072 de 2015. Modifíquese los artículos 2.2.1.5.3, 2.2.1.5.5, 2.2.1.5.8 y 2.2.1.5.9 del Decreto 1072 de 2015, Único Reglamentario del Sector Trabajo,</t>
  </si>
  <si>
    <t xml:space="preserve">Artículo 2.2.1.5.3                                          Artículo 2.2.1.5.5                                        Artículo 2.2.1.5.8                                           Artículo 2.2.1.5.9 </t>
  </si>
  <si>
    <t xml:space="preserve">Ley 1335  </t>
  </si>
  <si>
    <t>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Corresponde a las ARL  desarrollar estrategias para brindar, permanentemente, información y educación a sus afiliados para garantizar ambientes laborales ciento por ciento (100%)</t>
  </si>
  <si>
    <t>Arículo 12</t>
  </si>
  <si>
    <t>Decreto 728</t>
  </si>
  <si>
    <t xml:space="preserve"> Acciones de promoción de la salud mental y prevención del consumo de sustancias psicoactivas en el trabajo. Adiciona un capítulo al Decreto 1072 de 2015.</t>
  </si>
  <si>
    <t>Estándares Mínimos del SG-SST</t>
  </si>
  <si>
    <t xml:space="preserve">Resolución 1890  </t>
  </si>
  <si>
    <t>Reglamenta el procedimiento para el registro de incidentes y reporte de accidentes mayores" tercera resolución reglamentaria del Decreto 1347 de 2021 relacionada con el Programa de Prevención de Accidente Mayor</t>
  </si>
  <si>
    <t xml:space="preserve">Artículos 3, 5- 9 - 11-12 y 14 </t>
  </si>
  <si>
    <t xml:space="preserve">Resolución 5492 </t>
  </si>
  <si>
    <t>Por la cual se reglamenta el SG-SST Para la prevención  de accidentes  mayores en las instalaciones clasificadas</t>
  </si>
  <si>
    <t xml:space="preserve">ACCIDENTES MAYORES ( químicos- explosiones- colapso- fugas -incendios) </t>
  </si>
  <si>
    <t xml:space="preserve">Artículos 1- 27 </t>
  </si>
  <si>
    <t xml:space="preserve">Resolución 4979  </t>
  </si>
  <si>
    <t>Por el cual se adiciona el Capítulo 12 al Título 4 de la Parte 2 del Libro 2 del Decreto 1072 de 2015, Decreto Único Reglamentario del Sector Trabajo, para adoptar el Programa de Prevención de Accidentes Mayores - PPAM   (ARTÍCULO 2.2.4.12.6)</t>
  </si>
  <si>
    <t xml:space="preserve">Decreto 1347 </t>
  </si>
  <si>
    <t>Artículo  2.2.4.12.5. Definiciones.  Artículo 2.2.4.12.7. Listado de sustancias químicas asociadas a accidentes mayores y cantidades umbral.Artículo 2.2.4.12.8. Registro de instalaciones clasificadas.                                Artículo 2.2.4.12.9. Sistema de gestión de la seguridad para la prevención de accidentes mayores. Artículo 2.2.4.12.10. Plan de emergencias y contingencias PEC.                     Artículo 2.2.4.12.11. Informe de seguridad. Artículo 2.2.4.12.12. Registro y reporte de incidentes y accidentes mayores.                           Artículo  2.2.4.12.14. Inspección, vigilancia y control.                             Artículo 2.2.4.12.15. Información disponible al público.               Artículo 2.2.4.12.20. Obligaciones de los trabajadores.</t>
  </si>
  <si>
    <t>Riesgo Químico Gases  y Material particulado</t>
  </si>
  <si>
    <t xml:space="preserve">Resolución 2467 </t>
  </si>
  <si>
    <r>
      <t>Adopta el Reglamento de Higiene y Seguridad para la prevención y el control del riesgo por exposición a sílice cristalina respirable</t>
    </r>
    <r>
      <rPr>
        <b/>
        <sz val="12"/>
        <color rgb="FF0A0A0A"/>
        <rFont val="Arial"/>
        <family val="2"/>
      </rPr>
      <t>.</t>
    </r>
  </si>
  <si>
    <t>Riesgo químico Gases  y Material particulado</t>
  </si>
  <si>
    <t>Resolución 07</t>
  </si>
  <si>
    <t xml:space="preserve">Por la cual se adopta el Reglamento de Higiene y Seguridad del Crisotilo y otras Fibras de uso similar </t>
  </si>
  <si>
    <t xml:space="preserve">Enfermedades Laborales osteomusculares </t>
  </si>
  <si>
    <t xml:space="preserve">Enfermedades Laborales psico sociales </t>
  </si>
  <si>
    <t xml:space="preserve"> Enfermedades por agentes químicos</t>
  </si>
  <si>
    <t>Anexo técnico .                                                                                                                                Punto 5 . Agentes Ergonómicos</t>
  </si>
  <si>
    <t xml:space="preserve"> Anexo técnico                                         Punto 4. Agentes Psicosociales</t>
  </si>
  <si>
    <t xml:space="preserve">Anexo técnico                                                 Punto 1. Agentes Químicos </t>
  </si>
  <si>
    <t xml:space="preserve"> Anexo técnico                                                  3. Agentes Biológicos </t>
  </si>
  <si>
    <t>Gatiso para asma ocupacional, cáncer pulmonar, neumoconiosis). Decreto 1477 del 2014 tabla de Enfermedades Laborales.  Resolución 07/11 controles al cristalito en el movimientos de tierra, Decerto 1072/15 art. 2.2.4.6.15, 23 y 24</t>
  </si>
  <si>
    <t xml:space="preserve">Resolución 2844 </t>
  </si>
  <si>
    <r>
      <t>Adopta las Guías de Atención Integral de Salud Ocupacional Basadas en la Evidencia</t>
    </r>
    <r>
      <rPr>
        <sz val="11"/>
        <color rgb="FF0A0A0A"/>
        <rFont val="Calibri"/>
        <family val="2"/>
        <scheme val="minor"/>
      </rPr>
      <t> </t>
    </r>
  </si>
  <si>
    <t xml:space="preserve">Sustitución de la Decisión 547, Instrumento Andino de Seguridad y Salud en el Trabajo </t>
  </si>
  <si>
    <t xml:space="preserve">Decisión 584 </t>
  </si>
  <si>
    <t>Riesgo Biomecánico y  Ergonómicos</t>
  </si>
  <si>
    <t xml:space="preserve">Resolución  2400  </t>
  </si>
  <si>
    <t>Se establecen los requisitos para identificar, evaluar los riesgos Ergonómicos asociados a la carga estática y así evitar problemas osteomusculares por levantamiento de cargas. 698 empujar o arrastrar cargas.</t>
  </si>
  <si>
    <t>Adopta el estatuto nacional contra el secuestro y se dictan otras disposiciones. Sanciones a empresas nacionales y extranjeras por el pago de un secuestrado</t>
  </si>
  <si>
    <t xml:space="preserve">Artículo 25 </t>
  </si>
  <si>
    <t>Ley 1575</t>
  </si>
  <si>
    <t>(Ley General de Bomberos de Colombia), que establece  la competencia de los cuerpos de bomberos para realizar inspecciones de seguridad en prevención de incendios y seguridad humana en todo tipo de establecimientos públicos y privados.</t>
  </si>
  <si>
    <t>Artículo 42</t>
  </si>
  <si>
    <t xml:space="preserve">Decreto  1478. </t>
  </si>
  <si>
    <t>Por medio del cual se adopta la actualización del Plan Nacional de Gestión del Riesgo de Desastres</t>
  </si>
  <si>
    <t>Artículo 2</t>
  </si>
  <si>
    <t>Control emergencias. Estándares Mínimos del SG-SST</t>
  </si>
  <si>
    <t xml:space="preserve">Decreto  1478 . </t>
  </si>
  <si>
    <t>Control emergencias. Por medio del cual se adopta la actualización del PNGRD y se modifica el Artículo 2.3.1.2.2.4.3 de la Subsección 4, Sección 2, Capítulo 2, Título 1, Libro 2, del Decreto Único Presidencial 1081 de 2015</t>
  </si>
  <si>
    <t>Artículo 2.3.1.2.2.4.3</t>
  </si>
  <si>
    <t xml:space="preserve">Circular 26  </t>
  </si>
  <si>
    <t>Control emergencias. Instrucciones para la comunicación de eventos que pueden convertirse en probables Emergencias en Salud Pública</t>
  </si>
  <si>
    <t>Capítulo 6 del Título 3 de la Parte 2 del Libro 2 (artículos 2.2.4.6.1 al 2.2.4.6.32)</t>
  </si>
  <si>
    <t xml:space="preserve"> Artículos. 2.2.4.6.15, 23, 24 y 25</t>
  </si>
  <si>
    <t xml:space="preserve">Decreto 2157 </t>
  </si>
  <si>
    <t>Resolución 0256</t>
  </si>
  <si>
    <t xml:space="preserve">Artículos 1-2-4-5.  Capítulos III y IV </t>
  </si>
  <si>
    <t>"Por medio del cual se expide el Decreto Reglamentario Único del Sector Presidencia de la República."</t>
  </si>
  <si>
    <t>Iluminación. MinMinas, por la cual se amplia el RETILAP</t>
  </si>
  <si>
    <t xml:space="preserve">Resolución  40176. </t>
  </si>
  <si>
    <t xml:space="preserve">Resolución 90980 </t>
  </si>
  <si>
    <t>R. 40122 de 2016  D. 1072/15 art. 2.2.4.6.15, 23 y 24, R. 40176 del 2-02-2023. MinMinas, por la cual se amplia el RETILAP</t>
  </si>
  <si>
    <t>Retilap 1568_01_sep_de_2010_retilap y su anexo.</t>
  </si>
  <si>
    <t xml:space="preserve">Resolución 181568 </t>
  </si>
  <si>
    <t xml:space="preserve"> Artículos. 2.2.4.6.15, 23 y 24</t>
  </si>
  <si>
    <t xml:space="preserve">Ley 9 </t>
  </si>
  <si>
    <t xml:space="preserve">Decreto Ley 2090 </t>
  </si>
  <si>
    <t xml:space="preserve">Resolución 773 Min trabajo </t>
  </si>
  <si>
    <t xml:space="preserve">Manipulación sustancias químicas.Acciones que deben desarrollar los empleadores para aplicar el SGA </t>
  </si>
  <si>
    <t>Artículo 21</t>
  </si>
  <si>
    <t xml:space="preserve"> Artículos  8,9 y 10</t>
  </si>
  <si>
    <t>Artículos 11 y 12</t>
  </si>
  <si>
    <t>Manipulación sustancias químicas. Por medio de la cual se aprueba el "Convenio No. 170 y la Recomendación número 177 sobre la Seguridad en la Utilización de los Productos Químicos en el trabajo art 1-3. Se requieren estándares de control para el riesgo químico en todas las etapas del ciclo de vida.</t>
  </si>
  <si>
    <t xml:space="preserve">Circular 075  </t>
  </si>
  <si>
    <t xml:space="preserve">Ley 2466 </t>
  </si>
  <si>
    <t>Por medio de la cual se modifica parcialmente normas laborales y se adopta una Reforma Laboral para el trabajo decente y digno en Colombia</t>
  </si>
  <si>
    <t xml:space="preserve"> 
Por medio de la cual se modifica parcialmente normas laborales y se adopta una Reforma Laboral para el trabajo decente y digno en Colombia</t>
  </si>
  <si>
    <t>Artículos 10. 11 y 12</t>
  </si>
  <si>
    <t>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t>
  </si>
  <si>
    <t xml:space="preserve">Decreto 0728 </t>
  </si>
  <si>
    <t xml:space="preserve">Artículo 2.2.4.13.4                                        Artículo 2.2.4.13.6                                     Artículo 2.2.4.13.9.                                </t>
  </si>
  <si>
    <t xml:space="preserve">Decreto 0405 </t>
  </si>
  <si>
    <t>Reglamenta las sanciones para empleadores que despidan a empleados por denunciar acoso sexual, protegiendo también a los testigos. Establece que las multas pueden variar entre 1 y 5.000 salarios mínimos mensuales legales vigentes (SMLMV) y deben pagarse al Fondo para el Fortalecimiento de la Inspección, Vigilancia y Control del Trabajo y la Seguridad Social (FIVICOT)</t>
  </si>
  <si>
    <t>Artículo 2.2.9.7.2</t>
  </si>
  <si>
    <t>Por el cual se adiciona el Título 2 a la Parte 1 del Libro 2 del Decreto 1072 de 2015 Único Reglamentario del Sector Trabajo, y se adopta la Política Pública de Trabajo Digno y Decente. Artículo 2.1.2.2.2. Promoción de empleo e ingresos dignos Línea de acción C</t>
  </si>
  <si>
    <t xml:space="preserve">Decreto 1527 </t>
  </si>
  <si>
    <t>ARTÍCULO 2.1.2.1.4. Punto 9 Entorno saludable y seguro</t>
  </si>
  <si>
    <t xml:space="preserve">Condiciones de trabajo </t>
  </si>
  <si>
    <t xml:space="preserve">Circular 70 </t>
  </si>
  <si>
    <t>Acciones de promoción y prevención en la salud mental y estilos de vida y trabajo saludable</t>
  </si>
  <si>
    <t xml:space="preserve">Punto 1 y Punto 3 </t>
  </si>
  <si>
    <t>Prevención, identificación y atención del acoso laboral, acoso sexual y discriminación contra las personas de los sectores sociales LGBTIQ+ en el ámbito laboral. Numerales 7, 8, 9, 10, , Circular 70 del 25-10-2024 Acciones de P&amp;P en salud mental</t>
  </si>
  <si>
    <t xml:space="preserve">Circular 55 </t>
  </si>
  <si>
    <t>Por medio de la cual se adoptan medidas de prevención, protección y atención del acoso sexual en el ámbito laboral y en las instituciones de educación superior en Colombia y se dictan otras disposiciones</t>
  </si>
  <si>
    <t xml:space="preserve">Ley 2365 </t>
  </si>
  <si>
    <t xml:space="preserve"> Min trabajo prevención y atención del acoso laboral y sexual</t>
  </si>
  <si>
    <t xml:space="preserve">Circular 026 </t>
  </si>
  <si>
    <t>Aclara Fuero de protección ante queja de Acoso Laboral</t>
  </si>
  <si>
    <t>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t>
  </si>
  <si>
    <t xml:space="preserve">Resolución 2764 </t>
  </si>
  <si>
    <t xml:space="preserve">Artículoa 1- 8 </t>
  </si>
  <si>
    <t>Modificó el artículo 18 de la ley 1010 de 2006, las acciones de Acoso aboral caducan a los 3 años</t>
  </si>
  <si>
    <t>Ley 2209</t>
  </si>
  <si>
    <t>Artículo 1 y 18</t>
  </si>
  <si>
    <t>Cumplimiento a la política pública en salud mental y el fortalecimiento de acciones de promoción y prevención para mejorar y garantizar la salud mental de los colombianos</t>
  </si>
  <si>
    <t>Circular 001</t>
  </si>
  <si>
    <t>Congreso regula la desconexión laboral</t>
  </si>
  <si>
    <t xml:space="preserve">Ley 2191 </t>
  </si>
  <si>
    <t xml:space="preserve">Artículos 4-6 </t>
  </si>
  <si>
    <t xml:space="preserve">Decreto 4463  </t>
  </si>
  <si>
    <t>Tiene por objeto definir las acciones necesarias para promover el reconocimiento social y económico del trabajo de las mujeres, implementar mecanismos para hacer efectivo el derecho a la igualdad salarial y desarrollar campañas de erradicación de todo acto de discriminación y violencia contra las mujeres en el ámbito laboral.</t>
  </si>
  <si>
    <t>Artículos 1- 5</t>
  </si>
  <si>
    <t xml:space="preserve">Ley 1257 </t>
  </si>
  <si>
    <r>
      <t>Por la cual se dictan normas de sensibilización, prevención y sanción de formas de violencia y discriminación contra las mujeres, se reforman los Códigos Penal, de Procedimiento Penal, la Ley</t>
    </r>
    <r>
      <rPr>
        <sz val="11"/>
        <rFont val="Calibri"/>
        <family val="2"/>
        <scheme val="minor"/>
      </rPr>
      <t> 294 </t>
    </r>
    <r>
      <rPr>
        <b/>
        <sz val="11"/>
        <rFont val="Calibri"/>
        <family val="2"/>
        <scheme val="minor"/>
      </rPr>
      <t>de 1996 y se dictan otras disposiciones</t>
    </r>
  </si>
  <si>
    <t>CAPITULO IV
Medidas de sensibilización y prevención
Artículo 9°.</t>
  </si>
  <si>
    <t>Trabajo y discapacidad</t>
  </si>
  <si>
    <t xml:space="preserve">Ley 1752 </t>
  </si>
  <si>
    <r>
      <t xml:space="preserve"> Por medio de la cual se modifica la Ley 1482 de 2011, para sancionar penalmente la discriminación contra las personas con discapacidad.                            </t>
    </r>
    <r>
      <rPr>
        <sz val="11"/>
        <color theme="1"/>
        <rFont val="Calibri"/>
        <family val="2"/>
        <scheme val="minor"/>
      </rPr>
      <t>Modificación a la Ley 1482 de 2011: La ley original de 2011 se centró en la discriminación por raza, etnia, religión, nacionalidad, ideología política o filosófica, sexo u orientación sexual. La Ley 1752 la amplía para incluir explícitamente la discriminación contra las personas con discapacidad.</t>
    </r>
  </si>
  <si>
    <t>Artículos 1-4 y Artículo 134B. Hostigamiento</t>
  </si>
  <si>
    <t>Protección para las personas que padecen epilepsia, art 14. Garantizarles sus derechos y la SST</t>
  </si>
  <si>
    <t xml:space="preserve">Ley 1414 </t>
  </si>
  <si>
    <t xml:space="preserve">Artículos 4.6 y 7 </t>
  </si>
  <si>
    <t xml:space="preserve"> Por la cual se adopta la Política Nacional de salud mental</t>
  </si>
  <si>
    <t xml:space="preserve">Resolución 4886 </t>
  </si>
  <si>
    <t xml:space="preserve">Artículos 1-4  </t>
  </si>
  <si>
    <t>Decreto 658 de 2013</t>
  </si>
  <si>
    <t>Por el cual se expide el cronograma de reglamentación e implementación de la Ley 1616 de 2013.</t>
  </si>
  <si>
    <t xml:space="preserve">Ley 1616 </t>
  </si>
  <si>
    <t xml:space="preserve">Artículos 1-10 </t>
  </si>
  <si>
    <t>Por medio de la cual se expide la ley de salud mental y se dictan otras disposiciones</t>
  </si>
  <si>
    <t>Modifica parcialmente la 652.</t>
  </si>
  <si>
    <t>Resolución 1356</t>
  </si>
  <si>
    <t>Artículos 1-5</t>
  </si>
  <si>
    <t>Comité de Convivencia</t>
  </si>
  <si>
    <t>Resolución 652</t>
  </si>
  <si>
    <t xml:space="preserve">Capítulos 1-4 </t>
  </si>
  <si>
    <t>Radiaciones no ionizantes. Decreto Único Reglamentario del Sector Trabajo, Libro 2, Parte 2, Título 4, Capítulo 6 – SG-SST</t>
  </si>
  <si>
    <t xml:space="preserve">Decreto 1072  </t>
  </si>
  <si>
    <t xml:space="preserve">Radiaciones no ionizantes. </t>
  </si>
  <si>
    <t>Art. 110,111 - 120 (Radiaciones no ionizantes: Ultravioleta, Infrarrojas y radiofrecuencia, y del 339, 521, 548-581 ,Cilindros de gases comprimidos, Soldadura eléctrica autógena y corte de metales, Aire comprimido)</t>
  </si>
  <si>
    <t>Resolución  40150  MinMinas modifica el Reglamento Técnico de Iluminación y Alumbrado Público - RETILAP</t>
  </si>
  <si>
    <t>Por la cual se modifica el Reglamento Técnico de Iluminación y Alumbrado Público (Retilap)</t>
  </si>
  <si>
    <t>Artículos 1, 2 y 3</t>
  </si>
  <si>
    <t>Iluminación. odos  los  lugares  de  trabajo  tendrán  la  iluminación  adecuada  e indispensable  de  acuerdo  a  la  clase  de  labor  que  se  realice, iluminación podrá ser natural o artificial, o de ambos tipos, evitar reflexión de luz, mayor iluminación para los lugares con mayor riesgo de accidente. Limpieza permanente a medios de trasluz. Evitar sombras y contrastes violentos. Sistemas de iluminación específica para emergencias.</t>
  </si>
  <si>
    <t>Artículo 16</t>
  </si>
  <si>
    <t>Medidas de prevención emergencias incluyendo sustancias químicas.</t>
  </si>
  <si>
    <t>Resolución 2400</t>
  </si>
  <si>
    <t>Numeral 2</t>
  </si>
  <si>
    <t xml:space="preserve">Circular 038 </t>
  </si>
  <si>
    <t>Determina de manera clara y perentoria que los empleadores públicos y privados deben incluir dentro de las actividades del Subprograma de Medicina Preventiva</t>
  </si>
  <si>
    <t xml:space="preserve">Artículos  2 y 4 </t>
  </si>
  <si>
    <t xml:space="preserve">Resolución 1956 </t>
  </si>
  <si>
    <t>Prohibición de fumar en lugares público o cerrados</t>
  </si>
  <si>
    <t>Artículo  7</t>
  </si>
  <si>
    <t xml:space="preserve">Ley 1566 </t>
  </si>
  <si>
    <t>Por la cual se dictan normas para garantizar la atención integral a personas que consumen sustancias psicoactivas y se crea el premio nacional "entidad comprometida con la prevención del consumo, abuso y adicción a sustancias" psicoactivas.</t>
  </si>
  <si>
    <t>Artículo 8.2.2</t>
  </si>
  <si>
    <t xml:space="preserve">Resolución 089 </t>
  </si>
  <si>
    <t xml:space="preserve"> Por la cual se adopta la política integra para la  atención y prevención de consumo SPA:  Reducción de los factores de riesgo en los entornos: laboral -Fortalecimiento de capacidades en los trabajadores y empleadores para la gestión del riesgos laborales relacionadas con el consumo  SPA.</t>
  </si>
  <si>
    <t>Se establecen controles para evitar la presencia de gérmenes en los puestos de trabajo productores  de  enfermedades  como infecciones  fungosas,  ántrax,  infecciones  sépticas,  fiebre  ondulante   etc.</t>
  </si>
  <si>
    <t xml:space="preserve">Circular conjunta externa 06   </t>
  </si>
  <si>
    <t>Directrices para el fortalecimiento de las medidas de prevención y atención integral de la Hepatitis A y de las acciones de vigilancia y control para este evento.</t>
  </si>
  <si>
    <t xml:space="preserve">Toda la circular </t>
  </si>
  <si>
    <t>Min trabajo adoptas las guía para prevenir exposición riesgo Biológico, Circular externa 052 del 9-12.2022 Instrucciones para la intensificación y fortalecimiento de las acciones de atención integral y control de la Infección Respiratoria Aguda (IRA</t>
  </si>
  <si>
    <t xml:space="preserve">Resolución 2468 </t>
  </si>
  <si>
    <t xml:space="preserve">Resolución 2121  </t>
  </si>
  <si>
    <t xml:space="preserve">Minsalud Por medio de la cual se declara la emergencia sanitaria en todo el territorio nacional por el brote causado por el virus de la fiebre amarilla y se adoptan medidas </t>
  </si>
  <si>
    <t xml:space="preserve">Resolución 691 </t>
  </si>
  <si>
    <t>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t>
  </si>
  <si>
    <t xml:space="preserve">Resolución 668 </t>
  </si>
  <si>
    <t>Sobre uso racional de bolsas plásticas y se adoptan otras disposiciones.</t>
  </si>
  <si>
    <t xml:space="preserve">Resolución 2184 </t>
  </si>
  <si>
    <t xml:space="preserve">Resolución 1344 </t>
  </si>
  <si>
    <t xml:space="preserve">Ley 2232 </t>
  </si>
  <si>
    <t xml:space="preserve"> Por la cual se establecen medidas tendientes a la reducción gradual de la producción y consumo de ciertos productos plásticos de un solo uso y se dictan otras disposiciones</t>
  </si>
  <si>
    <t>Riesgo mecánico</t>
  </si>
  <si>
    <t>Reglamento de higiene y seguridad para la construcción</t>
  </si>
  <si>
    <t>Resolución 2413</t>
  </si>
  <si>
    <t>___</t>
  </si>
  <si>
    <t xml:space="preserve"> Decreto Único Reglamentario del Sector Trabajo, Libro 2, Parte 2, Título 4, Capítulo 6 – SG-SST</t>
  </si>
  <si>
    <t>Riesgo eléctrico</t>
  </si>
  <si>
    <t>Resolución 40157</t>
  </si>
  <si>
    <t>Resolución 40908</t>
  </si>
  <si>
    <t xml:space="preserve">Resolución 41291 </t>
  </si>
  <si>
    <t>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t>
  </si>
  <si>
    <t>Minminas modificó el Reglamento Técnico-RETIE. Título 4 SG-SST Derogó  la Resolución  90708 del 2013</t>
  </si>
  <si>
    <t xml:space="preserve"> soldadura.  Decreto Único Reglamentario del Sector Trabajo, Libro 2, Parte 2, Título 4, Capítulo 6 – SG-SST</t>
  </si>
  <si>
    <t>Trabajo en calientes</t>
  </si>
  <si>
    <t xml:space="preserve">Resolución  2400   </t>
  </si>
  <si>
    <t xml:space="preserve">Condiciones de seguridad </t>
  </si>
  <si>
    <t>Artículos. 5, 101, 113 y 115</t>
  </si>
  <si>
    <t>Resolución  Ley 769</t>
  </si>
  <si>
    <t xml:space="preserve">Resolución 624  </t>
  </si>
  <si>
    <t>Minsalud adopta el Manual para la señalización de los ambientes 100% libres de humo de tabaco y aerosoles emitidos por sus sucedáneos e imitadores</t>
  </si>
  <si>
    <t>Condiciones de Seguridad</t>
  </si>
  <si>
    <t xml:space="preserve">Espacios confinados </t>
  </si>
  <si>
    <t>Espacios confinados</t>
  </si>
  <si>
    <t>Requisitos mínimos de seguridad para el  desarrollo de trabajo en espacios confinados, art 9, 10, 12 responsabilidades de los empleadores o contratantes.</t>
  </si>
  <si>
    <t xml:space="preserve">Resolución 2605 </t>
  </si>
  <si>
    <t>Manejo y transporte mecánico de materiales, Grúas, Malacates, transportadores de banda, diferenciales</t>
  </si>
  <si>
    <t>Artículos 1 al 68</t>
  </si>
  <si>
    <t xml:space="preserve"> Esta norma establece los requisitos mínimos de seguridad para el desarrollo de trabajo en alturas, Estar norma deroga las siguientes: Resolución 1409 de 2012, Resolución 1903 de 2013, Resolución 3368 de 2014, Resolución 1178 de 2017 y Resolución 1248 de 2020. entrará a regir a partir del mes de agosto del 2022:  Otras normas asociadas al trabajo en las alturas:</t>
  </si>
  <si>
    <t>Trabajo en las Alturas</t>
  </si>
  <si>
    <t xml:space="preserve"> Andamios y Escaleras</t>
  </si>
  <si>
    <t>Resolución 736</t>
  </si>
  <si>
    <t xml:space="preserve">Trabajo en las Alturas </t>
  </si>
  <si>
    <t xml:space="preserve"> Certificado de competencias laborales para entrenadores o instructores.</t>
  </si>
  <si>
    <t>Min trabajo capacitación y reentrenamiento en Alturas</t>
  </si>
  <si>
    <t>Circular 36</t>
  </si>
  <si>
    <t>Circular 70</t>
  </si>
  <si>
    <t>Artículo 12</t>
  </si>
  <si>
    <t xml:space="preserve">Ley 1503 </t>
  </si>
  <si>
    <t xml:space="preserve">Siniestralidad vial 
</t>
  </si>
  <si>
    <t>Ley 1383</t>
  </si>
  <si>
    <t>PESV.</t>
  </si>
  <si>
    <t>Siniestralidad vial 
Disp. Penales y administrativas en la conducción, bajo influencias alcohol y otras sustancias</t>
  </si>
  <si>
    <t>Ley 1696</t>
  </si>
  <si>
    <t xml:space="preserve">PESV. </t>
  </si>
  <si>
    <t>Decreto 1079</t>
  </si>
  <si>
    <t>Artículo. 2.2.4.6.15, 23 y 24 modificado por Artículo 1 D.1252/2021</t>
  </si>
  <si>
    <t>Resolución 315</t>
  </si>
  <si>
    <t xml:space="preserve">Resolución  1379 </t>
  </si>
  <si>
    <r>
      <t>La Resolución 1379 de 2017 es una normativa del Área Metropolitana del Valle de Aburrá que establece la adopción de los </t>
    </r>
    <r>
      <rPr>
        <b/>
        <sz val="11"/>
        <color rgb="FF0A0A0A"/>
        <rFont val="Arial"/>
        <family val="2"/>
      </rPr>
      <t>Planes de Movilidad Empresarial Sostenible (MES)</t>
    </r>
    <r>
      <rPr>
        <sz val="11"/>
        <color rgb="FF0A0A0A"/>
        <rFont val="Arial"/>
        <family val="2"/>
      </rPr>
      <t> para empresas e instituciones con más de 200 trabajadores. Estos planes buscan mejorar la movilidad, la calidad del aire y la sostenibilidad a través de estrategias de transporte para los empleados de la organización. </t>
    </r>
  </si>
  <si>
    <t>Siniestralidad vial 
Reglamenta a instalación y uso de cintas retrorreflectivas y se dictan otras disposiciones"</t>
  </si>
  <si>
    <t xml:space="preserve">Resolución 1572 </t>
  </si>
  <si>
    <t>Siniestralidad vial 
Suprime, reforma trámites y procedimientos:  art. 110 modifica el art 12 de la ley 1503/11 el PESV NO requiere aval para su implementación</t>
  </si>
  <si>
    <t>Siniestralidad vial 
Por medio de la cual se modifica y adiciona la ley 1503 de 2011 y se dictan otras disposiciones en seguridad vial y tránsito (Incentivos PESV ART 5)</t>
  </si>
  <si>
    <t xml:space="preserve">PESV.  </t>
  </si>
  <si>
    <t xml:space="preserve">Ley 2050 </t>
  </si>
  <si>
    <t xml:space="preserve">Resolución 304004105  </t>
  </si>
  <si>
    <t xml:space="preserve">Resolución  3385 </t>
  </si>
  <si>
    <t xml:space="preserve">Decreto 478  </t>
  </si>
  <si>
    <t>Siniestralidad vial 
  Mintransporte modifica el plazo para certificar el SG-SST del sector transporte</t>
  </si>
  <si>
    <t xml:space="preserve">Resolución 40595 </t>
  </si>
  <si>
    <t>Siniestralidad vial 
Metodología para el diseño, implementación y verificación de los PESV. Deroga la Resololución 1565 de 2014</t>
  </si>
  <si>
    <t xml:space="preserve">LEY 2251   </t>
  </si>
  <si>
    <t>Siniestralidad vial 
 Diseño e implementación de la política de seguridad vial con enfoque de sistema seguro   art 6 Licencia de conducción digital, art 12 y 13 velocidades</t>
  </si>
  <si>
    <t>__</t>
  </si>
  <si>
    <t>Siniestralidad vial 
 Modifica el art 112 de la ley 169 Señalizar zonas de prohibición por autoridad</t>
  </si>
  <si>
    <t xml:space="preserve">Ley 2252 </t>
  </si>
  <si>
    <t>Siniestralidad vial 
Plan Nacional de seg Vial 2022-2031</t>
  </si>
  <si>
    <t xml:space="preserve">Decreto 1430 </t>
  </si>
  <si>
    <t>Siniestralidad vial 
Única Compilatoria Transito (Resolución 5178 del 27-07-2023 deber de reportar indicadores a empresas sector transportes, incluida de la R. única compilatoria</t>
  </si>
  <si>
    <t xml:space="preserve">Resolución 45295 </t>
  </si>
  <si>
    <t xml:space="preserve">Ley 2283 </t>
  </si>
  <si>
    <t xml:space="preserve">Resolución 756  </t>
  </si>
  <si>
    <t>Siniestralidad vial 
  área metropolitana, Planes de Movilidad Empresarial Sostenible -Planes MES</t>
  </si>
  <si>
    <t xml:space="preserve">Resolución 30355  </t>
  </si>
  <si>
    <t xml:space="preserve">Circular 637  </t>
  </si>
  <si>
    <t>Siniestralidad vial 
Mintransporte lineamientos sobre la fecha de exigibilidad de la primera revisión técnico mecánica y de emisiones contaminantes de vehículos automotores de servicio particular</t>
  </si>
  <si>
    <t xml:space="preserve">Resolución 17145 </t>
  </si>
  <si>
    <t>Artículo. 29</t>
  </si>
  <si>
    <t xml:space="preserve">Ley 1523 de 2012. </t>
  </si>
  <si>
    <t>Art ículo 2. Desastres.</t>
  </si>
  <si>
    <t>Decreto 308</t>
  </si>
  <si>
    <t xml:space="preserve">Control emergencias.   Por medio del cual se adopta el Plan Nacional de Gestión de Riesgo de Desastres </t>
  </si>
  <si>
    <t>Físico. Ruido .</t>
  </si>
  <si>
    <t xml:space="preserve">Ley 8321 </t>
  </si>
  <si>
    <t>Artículo .47,48,5</t>
  </si>
  <si>
    <t xml:space="preserve">Decreto 948 </t>
  </si>
  <si>
    <t xml:space="preserve">Resolución 1792 </t>
  </si>
  <si>
    <t>Artículos . 2.2.4.6.15, 23 y 24</t>
  </si>
  <si>
    <t>Físico. Vibraciones</t>
  </si>
  <si>
    <t>Ley 9</t>
  </si>
  <si>
    <t>Resolución 9031</t>
  </si>
  <si>
    <t>Físico. Radiaciones ionizantes</t>
  </si>
  <si>
    <t xml:space="preserve">Resolución 2003 </t>
  </si>
  <si>
    <t>Físico.Radiaciones ionizantes</t>
  </si>
  <si>
    <t xml:space="preserve">Resolución 482 </t>
  </si>
  <si>
    <t>Radiaciones ionizantes.  Reglamenta uso y control de calidad de equipos generadores de RX, D. 1072/15 art. 2.2.4.6.15, 23 y 24</t>
  </si>
  <si>
    <t xml:space="preserve">  Por el cual se definen las actividades de alto riesgo para la salud del trabajador y se modifican y señalan las condiciones, requisitos y beneficios del régimen de pensiones de los trabajadores que laboran en dichas actividades</t>
  </si>
  <si>
    <t>Físico. Radiaciones ionizantes.</t>
  </si>
  <si>
    <t>Resolución  2646</t>
  </si>
  <si>
    <t>Permite el recaudo de cotizaciones por parte del Régimen Especial de las universidades estatales u oficiales.Minsalud incorporan nuevas variables en la estructura de la Planilla Integrada de Liquidación de Aportes - PILA, relacionadas con: a. El contratante de trabajadores independientes, el tipo de aportante "Contratante”</t>
  </si>
  <si>
    <t xml:space="preserve">Resolución 413 </t>
  </si>
  <si>
    <t xml:space="preserve">Decreto No.  0514  </t>
  </si>
  <si>
    <t>Modifica el campo “26-Licencia de Maternidad o Paternidad” para que en la licencia parental flexible las personas puedan aportar al Sistema de Riesgos Laborales.Por el cual se reglamenta y compilan las normas del Sistema de Protección Social Integral para la Vejez, Invalidez y Muerte de origen común.</t>
  </si>
  <si>
    <t>Afiliación al sistema de seguridad social. Por el cual se definen las actividades de alto riesgo para la salud del trabajador y se modifican y señalan las condiciones, requisitos y beneficios del régimen de pensiones de los trabajadores que laboran en dichas actividades</t>
  </si>
  <si>
    <t>Artículo. 61</t>
  </si>
  <si>
    <t>Resolución 2013</t>
  </si>
  <si>
    <t xml:space="preserve">Resolución  467  Minsalud. </t>
  </si>
  <si>
    <t>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t>
  </si>
  <si>
    <t xml:space="preserve">Seguridad en Minas </t>
  </si>
  <si>
    <t xml:space="preserve">La empresa cuenta con;  a) evidencia documental de las siguientes obligaciones del indicadas en el reglamento el cual   b) ha sido socializado y comunicado en las diferentes instancias lo cual permite que   c) todos los trabajadores en todos los niveles conocen su participación para hacer efectivo su cumplimiento :  
1. Organizar e implementar el Sistema de Gestión de la Seguridad y Salud en el Trabajo, SG -SST, considerando los protocolos de bioseguridad expedidos para el sector, de conformidad con la normatividad vigente.  
2. Cumplir con las disposiciones de saneamiento básico establecidos en las normas vigentes.  
3. Asegurar la afiliación de los trabajadores dependientes e independientes al Sistema General de Seguridad Social Integral (salud, pensiones y riesgos laborales), pagar de manera oportuna los aportes correspondientes y cumplir con toda la normatividad laboral vigente.  
4. Participar en la investigación de accidentes e incidentes de trabajo, de accidentes de trabajo graves y mortales, enfermedades laborales, analizar las estadísticas respectivas y elaborar los informes correspondientes. De igual forma, se debe enviar copia a la autoridad minera del informe de investigación de los accidentes graves y mortales reportado al Ministerio del Trabajo, así como a la administradora de riesgos laborales, dentro de los treinta (30) días siguientes a su ocurrencia, para que haga parte del expediente minero y sea objeto de seguimiento en las actuaciones respectivas.  
5. Proveer los recursos financieros, físicos y humanos necesarios para el mantenimiento de máquinas, herramientas, materiales y demás elementos de trabajo en condiciones de seguridad; así mismo, para el normal funcionamiento de los servicios médicos, instalaciones sanitarias y servicios de higiene para los trabajadores.  
6. Facilitar la capacitación de los trabajadores nuevos, antes que inicien sus labores, así como reentrenarlo en materia de seguridad y salud en el trabajo y asumir los costos de ésta, de acuerdo con lo establecido en este Reglamento.  
7. Proporcionar inducción de riesgos y medidas de seguridad a todo el personal que requiera ingresar a la mina, así como, acerca del uso de los equipos de protección personal, suministrados por el responsable de la aplicación y cumplimiento del presente reglamento.  
8. Aplicar los conceptos técnicos sobre la prevención de caída de alturas, establecidos en las normas vjgentes y aquellas que lo modifiquen, complementen o sustituyan.  
9. Identificar, evaluar, prevenir, intervenir y monitorear de manera permanente la exposición de los riesgos psicosociales en el trabajo conforme a lo estipulado en las normas vigentes y aquellas que lo modifiquen, complementen o sustituyan.  
10. Realizar campañas de prevención del consumo de sustancias psicoactivas.  
11. Establecer las medidas tendientes a prevenir, detectar y combatir incendios y la ocurrencia de explosiones. En caso de grave peligro para la seguridad y la salud de los trabajadores, se debe propiciar que las operaciones se detengan y los trabajadores sean evacuados a un lugar seguro.  
12. Verificar que los trabajadores de los contratistas, subcontratistas y/o terceros que requieran ingresar a las labores mineras, lo hagan con la autorización del responsable técnico de las mismas, verificando que tengan afiliación vigente al sistema de seguridad social integral y se encuentren al día en el pago de sus aportes.  
13. Realizar el mantenimiento y calibración periódica de los equipos de medición conforme a las recomendaciones del fabricante, con personal certificado y autorizado para tal fin.  
14. Brindar capacitación en seguridad y salud en el trabajo a todos los trabajadores a su cargo asumiendo los costos de ésta y proporcionando el tiempo requerido;  
15. Disponer de la documentación técnica y los registros actualizados que den cuenta de los aspectos relacionados con la seguridad en las labores a cielo abierto que se desarrollan, los cuales podrán ser requeridos por las autoridades competentes.  
16. Definir e implementar el procedimiento para la inducción sobre riesgos y medidas de seguridad para los visitantes.  
17. Cumplir con todas las demás normas del Sistema General de Riesgos Laborales que no estén establecidas en el presente reglamento.  
18. Fomentar las competencias del personal a su cargo para la inserción de tecnologías limpias en los procesos de beneficio de oro promoviendo el uso de productos sustitutos.  </t>
  </si>
  <si>
    <t>Capítulo VI. Artículos 20 - 22</t>
  </si>
  <si>
    <t xml:space="preserve">Capítulo V. Registros y planos </t>
  </si>
  <si>
    <t>Capítulo III . Equipos y elementos de protección personal Artículos 10- 14</t>
  </si>
  <si>
    <t xml:space="preserve">Artículo 9 . Obligaciones de los trabajadores </t>
  </si>
  <si>
    <t>Artículo 8. Obligaciones del Personal Directivo, Técnico y de Supervisión</t>
  </si>
  <si>
    <t xml:space="preserve">Artículo 7. Obligaciones del explotador minero </t>
  </si>
  <si>
    <t xml:space="preserve"> Artículo 6 . Protocolos para la ejecución de las labores mineras</t>
  </si>
  <si>
    <t xml:space="preserve">Capítulo VII .  Disposiciones sobre capacitación , entrenamiento y actualización. </t>
  </si>
  <si>
    <r>
      <t xml:space="preserve">La empresa cuenta con la evidencia , registros documental , listas de asistencia, evaluaciones de conocimientos y otros medios que permite demostrar que ha realizado las siguientes actividades indicadas en el capítulo VII , artículos 23- 27 que incluye lo siguiente:  a) La empresa ha debido realizar en un término no mayor de tres (3) años contados a partir de la expedición del presente Decreto, (Abril de 2022)  la capacitación en seguridad y salud en el trabajo en labores mineras de los trabajadores a su cargo, a través de las instituciones autorizadas para tal fin.  b) Se ha tenido en cuenta que los aprendices y estudiantes de formación titulada de las instituciones educativas debidamente aprobadas, que contemplen en sus programas la realización de prácticas formativas  labores, deben ser capacitados y certificados en seguridad y salud en trabajo en el nivel avanzado por la misma institución.  c) Se ha  realizado el reentrenamiento a sus trabajadores y actualizar a los mismos en seguridad y salud en el trabajo en labores mineras, cuando se presenten cambios normativos, tecnológicos y/o en los procesos y procedimientos productivos, el cual podrá hacerla directamente o a través de terceros autorizados en el presente reglamento (En todo caso, la capacitación debe estar soportada)  d) Las personas objeto de la capacitación se han debido  capacitar en seguridad y salud en labores mineras de manera obligatoria y en el término establecido en el artículo 26 del presente Decreto,  que incluye las siguientes personas:  1. El personal directivo o aquellos trabajadores que tomen decisiones técnicas o administrativas en relación con la aplicación de este reglamento.  
2. Los trabajadores que realicen labores mineras. 3. Los entrenadores en seguridad y salud en labores mineras.  
e) Sobre las  Instituciones autorizadas para realizar la capacitación en seguridad y salud en el trabajo en las labores mineras a cielo abierto  deben haber solicitado ante la Dirección de Movilidad y Formación para el Trabajo, del Ministerio del Trabajo, el registro respectivo, acreditando suficiencia técnica, jurídica y demás requisitos que se establezcan.  f) La empresa tiene en cuenta que los diferentes programas de capacitación en seguridad y salud en el trabajo en las labores mineras de que trata este artículo podrán realizarse por el servicio nacional de aprendizaje -SENA, los empleadores o explotadores mineros, utilizando la figura de las unidades vocacionales de aprendizaje en empresas, UVAE, las instituciones técnicas, tecnológicas y universitarias, debidamente aprobadas por el ministerio de educación nacional, que tengan dentro de sus programas de formación el de minería y/o seguridad y salud en el trabajo con énfasis en el sector de la minería, las instituciones de formación para el trabajo y desarrollo humano y las cajas de compensación familiar-CCF.  
g) La empresa ha verificado que todos los oferentes de capacitación en seguridad, en labores mineras a cielo abierto que otorguen certificados, deben reportar la información respectiva a la Dirección de Movilidad y Formación para el Trabajo del Ministerio del Trabajo, dentro de los cinco (5) días siguientes a su formación y que el certificado que cumplido el plazo no esté registrado en el Ministerio, no será válido hasta tanto no sea registrado.  h)  Los centros de entrenamiento que se utilicen para impartir la formación en seguridad y salud en el trabajo para labores mineras deben cumplir con los lineamientos establecido por la Dirección de Movilidad y Formación para el Trabajo del Ministerio del Trabajo, debiéndose inscribir dentro de la plataforma de formación vocacional.  i )  La empresa ha tenido en cuenta que la Dirección de Movilidad y Formación para el Trabajo, del Ministerio del Trabajo, reglamentará dentro de los seis (6) meses siguientes a la expedición del presente Decreto, ( abril de 2022) el sistema de autorización y registro de las instituciones que impartan estos programas. 
j)  La empresa ha tenido en cuenta y puede demostrar en sus archivos y memorias de capacitación que los programas de capacitación en seguridad y salud en el trabajo en labores mineras se rigen por los siguientes lineamientos: 
1. Diseño de los programas de capacitación. Los programas de capacitación, en seguridad y salud en las labores mineras que impartan las instituciones autorizadas para tal fin, deben tener en cuenta, los siguientes niveles: 
- Nivel básico. Está dirigido al personal directivo y aquel que toma decisiones administrativas, que no ingresan a las labores mineras. Tendrá una intensidad mínima de dieciséis (16) horas. Puede ser realizado de manera presencial o virtual. 
- Nivel avanzado. Este curso está dirigido a: 
* Trabajadores operativos y aprendices que realicen actividades en labores mineras, tendrá una intensidad mínima de (40) horas, de las cuales mínimo serán cuarenta por ciento (40%) teóricas y sesenta por ciento (60%) entrenamiento práctico. 
* Personal directivo y aquel que tome decisiones técnicas o administrativas relacionadas con la aplicación del presente reglamento que ingresen a las labores mineras, con una intensidad de cuarenta (40) horas, de las cuales, mínimo serán cuarenta por ciento (40%) teóricas y sesenta por ciento (60%) entrenamiento práctico. Quien se haya formado en el nivel básico solo requerirá complementar la parte práctica correspondiente al sesenta (60) por ciento del nivel avanzado. 
2. Los contenidos de los programas de capacitación anteriormente descritos serán: 
</t>
    </r>
    <r>
      <rPr>
        <i/>
        <sz val="11"/>
        <color theme="1"/>
        <rFont val="Calibri"/>
        <family val="2"/>
        <scheme val="minor"/>
      </rPr>
      <t>Nivel básico</t>
    </r>
    <r>
      <rPr>
        <sz val="11"/>
        <color theme="1"/>
        <rFont val="Calibri"/>
        <family val="2"/>
        <scheme val="minor"/>
      </rPr>
      <t xml:space="preserve">: debe contemplar los siguientes temas: 
*Requisitos legales, conceptos básicos de derecho laboral, incluyendo derechos y deberes en el Sistema de Gestión de Seguridad y Salud en el Trabajo -SGSST, responsabilidad civil, penal, administrativa y ambiental; sobre labores mineras a cielo abierto y seguridad y salud en el trabajo; 
*Planificación y seguimiento a las medidas establecidas en el Sistema de Gestión de la Seguridad y Salud en el trabajo (SG-SST). 
* Procedimiento para identificar los peligros, mitigar o eliminar los riesgos de accidentes o enfermedades en labores mineras a cielo abierto; 
*Responsabilidades legales sobre el uso y manejo de explosivos, químicos y sus accesorios. 
</t>
    </r>
    <r>
      <rPr>
        <i/>
        <sz val="11"/>
        <color theme="1"/>
        <rFont val="Calibri"/>
        <family val="2"/>
        <scheme val="minor"/>
      </rPr>
      <t>Nivel Trabajador Operativo</t>
    </r>
    <r>
      <rPr>
        <sz val="11"/>
        <color theme="1"/>
        <rFont val="Calibri"/>
        <family val="2"/>
        <scheme val="minor"/>
      </rPr>
      <t xml:space="preserve">: Para trabajadores operativos y aprendices que realicen actividades en labores mineras, debe estar  contemplando los siguientes temas teórico-prácticos: 
*Naturaleza de los peligros del accidente de trabajo, enfermedades laborales en labores mineras y fomento del autocuidado en las personas. 
*Requisitos legales, responsabilidad civil, penal, administrativa y ambiental; sobre labores mineras y seguridad y salud en el trabajo. 
*Implementación de las medidas establecidas en el sistema de gestión de la seguridad y salud en el trabajo (SG-SST). 
*Procedimiento de trabajo seguro en labores mineras. 
*Procedimientos para manipular y almacenar equipos y materiales utilizados en las labores a cielo abierto; 
*Procedimientos para manipular y almacenar los equipos de protección personal; 
*Medidas de prevención de accidentes o enfermedades en labores mineras, que incluya aspectos técnicos de prevención por caída de rocas, riesgos electromecánicos, manejo seguro de explosivos, entre otros. 
*Aplicabilidad de los permisos de trabajo. 
*Estabilidad de los taludes y escombreras. 
*Aspectos relacionados con el transporte de mineral y de explosivos. 
*Responsabilidades legales sobre el uso y manejo de explosivos, químicos y sus accesorios. 
</t>
    </r>
    <r>
      <rPr>
        <i/>
        <sz val="11"/>
        <color theme="1"/>
        <rFont val="Calibri"/>
        <family val="2"/>
        <scheme val="minor"/>
      </rPr>
      <t>Nivel Profesional Operativo:</t>
    </r>
    <r>
      <rPr>
        <sz val="11"/>
        <color theme="1"/>
        <rFont val="Calibri"/>
        <family val="2"/>
        <scheme val="minor"/>
      </rPr>
      <t xml:space="preserve"> Personal directivo y aquel que tome decisiones técnicas o administrativas relacionadas con la aplicación del presente Reglamento, que ingresen a las labores. 
*Requisitos legales sobre labores mineras y seguridad y salud en el trabajo; requisitos legales, conceptos básicos de derecho laboral, incluyendo derechos y deberes en el Sistema de Gestión de Seguridad y Salud en el Trabajo -SGSST, responsabilidad civil, penal, administrativa y ambiental; sobre labores mineras a cielo abierto y seguridad y salud en el trabajo. 
*Implementación y seguimiento a las medidas establecidas en el sistema de gestión de la seguridad y salud en el trabajo (SG-SST). 
*Conceptos básicos de derecho laboral, incluyendo derechos y deberes en el Sistema General de Seguridad Social Integral.Identificación de los peligros valoración y control de los riesgos que podrían causar accidentes de trabajo y/o enfermedades laborales en sector minero. 
*Identificación de los peligros valoración y control de los riesgos que podrían causar accidentes de trabajo y/o enfermedades laborales en sector minero. 
*Diseño, implementación y seguimiento de procedimientos de trabajo seguro en labores mineras. 
*Diseño e implementación de los permisos de trabajo; 
*Estabilidad de los taludes y escombreras. 
*Aspectos relacionados con el transporte de mineral y explosivos. 
*Responsabilidades legales sobre el uso y manejo de explosivos, químicos y sus accesorios. 
k) La empresa ha verificado que las instituciones que oferten programas de capacitación en seguridad y salud en el trabajo en labores mineras deben adoptar los mecanismos necesarios para la transferencia y aplicabilidad de los conocimientos relacionados con la temática, que permita el acceso a las personas que no sepan leer y escribir y desarrollen sus actividades en este sector. 
</t>
    </r>
  </si>
  <si>
    <t xml:space="preserve">TÍTULO II
Explosivos.
CAPÍTULO I. Generalidades y transporte de explosivos al interior del proyecto minero .  Artículos 28- 31 </t>
  </si>
  <si>
    <t xml:space="preserve">La empresa ha dado cumplimiento a los aspectos de :  Almacenamiento, descargue, depósito y destrucción de explosivos ; los cuales  se ceñirán a lo dispuesto en los aspectos técnicos y las normas establecidas o que expida la autoridad competente sobre el particular.  Entre estos aspectos , la empresa ha cumplido y cuenta con evidencia que permite ver el cumplimiento de las siguientes actividades relacionadas como:  a) El transporte de los explosivos desde el depósito hasta los frentes de trabajo ha cumplido con: 1. Efectuarse por personal capacitado para este oficio.  2. Los elementos utilizados en las voladuras (explosivos y accesorios de voladura), deben transportarse separadamente en compartimentos independientes que los protejan de los golpes y la fricción; estos podrán estar recubiertos internamente en materiales como madera, cuero o lámina plástica antiestática; no debe transportarse en un mismo vehículo explosivos y accesorios de voladura.  3. Los detonadores deben ser transportados en un vehículo exclusivo para este fin.  b) La empresa ha tenido en cuenta las prohibiciones en el transporte de los explosivos y accesorios de voladura a los frentes y que durante el transporte de los explosivos y accesorios de voladura desde el depósito de explosivos al frente de trabajo está  prohibido:  
1. Transportar explosivos cebados o con su iniciador insertado;  2. Fumar, llevar fósforos, encendedores, circuitos eléctricos, materiales inflamables o cualquier elemento que pueda ocasionar la ignición de aquellos;  3. El uso de equipos de radio frecuencia cuando se transporten iniciadores eléctricos; y  4.El transporte de explosivos y accesorios de voladura, juntamente con el personal, excepto, cuando son personas capacitadas y certificadas en su manejo y cuidado.  c) Se ha tenido en cuenta la cantidad de explosivos a transportar y  llevar a los frentes de trabajo, son  solamente la cantidad de explosivos y accesorios de voladura necesarios para la operación de explotación programada?  d) La empresa tiene en cuenta que el personal Autorizado para la manipulación de explosivos. Las actividades de almacenamiento, uso, manipulación, control y supervisión de materiales explosivos y accesorios de voladura serán efectuadas por el personal que esté capacitado y cuente con las competencias acreditadas por el SENA, u otras instituciones autorizadas para tal fin, y contar con el certificado de idoneidad vigente ? e) La empresa cuenta con evidencias de que las voladuras deben efectuarse teniendo en cuenta el diseño y la malla o red de perforación y voladura, establecida en el Programa de Trabajos e Inversiones (P.T.I) o el Programa de Trabajos y Obras (P.T.O) o demás documentos técnicos aprobados por la autoridad minera y avalado por el DCCA, el cual define la distancia entre barrenos, el número de barrenos, el diámetro y la profundidad de carga específica, espesor y tipo de explosivos a utilizar, además las proyecciones y vibraciones que se generen, garantizando que no se afecte la infraestructura, viviendas y vías de acceso aledañas al proyecto minero ? f) La empresa ha comunicado - cuenta con procedimientos de trabajo seguro , entrenamiento , capacitaciones continuas que dan cuenta de que cuando se utilicen detonadores eléctricos, estos deben ser comprobados con un ohmiómetro antes de ser usados, y se debe utilizar solamente uno por barreno; para el uso de los mismos, el cable de iniciación debe permanecer en corto circuito hasta cuando el operador de explosivos vaya a efectuar la voladura y siempre debe estar bajo su vigilancia; se debe utilizar un explosor que cumpla con las especificaciones del fabricante de detonadores, y adecuado a la cantidad de barrenos que se tenga en el frente de trabajo, para garantizar la iniciación total de la voladura.  Cuando se usen detonadores eléctricos, después de hacerse la voladura, la línea de tiro debe desconectarse del explosor y dejarse en corto circuito.  g) La empresa controla de manera continua el momento del cargue de los barrenos, donde únicamente podrán permanecer en el sitio de la voladura el personal y equipo autorizado. Estos impedirán la entrada de personas y vehículos mediante la colocación de barricadas y avisos, también se deben tomar todas las precauciones necesarias para poner a salvo su vida y la de las personas que puedan estar en los alrededores, evacuando el sitio donde se va a producir la detonación de acuerdo con la cantidad de explosivo y la carga. h) </t>
  </si>
  <si>
    <t xml:space="preserve">Seguridad en Minas, Riesgo eléctrico  </t>
  </si>
  <si>
    <t xml:space="preserve">TÍTULO III
Instalaciones eléctricas , máquinas , equipos, talleres y herramientas 
CAPÍTULO I
Instalaciones eléctricas. Artículo 48. 
</t>
  </si>
  <si>
    <t xml:space="preserve">Capítulo II Maquinaria y equipos </t>
  </si>
  <si>
    <t xml:space="preserve">TÍTULO IV
Transporte
CAPÍTULO I
Generalidades 
Artículos 61 al 70 </t>
  </si>
  <si>
    <t>La empresa conoce y ha aplicado lo contenido en el Título IV dando cumplimiento a los artículos 61- 70 donde se especifican los distintos tipos de transporte de materiales, que incluyen : a) Contar con un plan de transporte de materiales b) Cumplir con la reglamentación de transporte de material en bandas c) Transporte de material por cable aéreo.d) Transporte de material y personal en vehículos. Para el transporte de material y personal en vehículos, se debe dar cumplimiento a las normas de tránsito y transporte vigentes y al Plan Estratégico de Seguridad Vial de la empresa. e) Procedimiento de trabajo seguro para el transporte de personal y materiales.f) Operación de vehículos,   g) Transporte de materiales h) Seguridad en el transporte fluvial.</t>
  </si>
  <si>
    <t>Título  V
Almacenamiento de materiales y combustibles  
Capítulo  I
Almacenamiento de estériles                   Artículo 72.</t>
  </si>
  <si>
    <t xml:space="preserve">Capítulo II Silos y Tolvas Artículos 74-77.                                                                      Capítulo III. Almacenamiento de minerales Artículos 78- 80 . Capítulo IV Almacenamiento de combustibles. Artículos 81- 84 </t>
  </si>
  <si>
    <t xml:space="preserve">Capítulo III y IV
Almacenamiento de minerales y combustibles. Artículos 78- 83 </t>
  </si>
  <si>
    <t>Artículo 85.</t>
  </si>
  <si>
    <t>Capítulo I
Estándares de las explotaciones mineras a cielo abierto.</t>
  </si>
  <si>
    <t xml:space="preserve">Capítulo II. Minería de aluvión </t>
  </si>
  <si>
    <t xml:space="preserve"> Artículos  104, 105 y 106 </t>
  </si>
  <si>
    <t>TÍTULO VII
Sistema de Gestión de salud y seguridad en el trabajo. 
Capítulo I
Generalidades</t>
  </si>
  <si>
    <t>Capítulo II Medicina Preventiva y del trabajo. Artículos 113 - 116</t>
  </si>
  <si>
    <t xml:space="preserve">Capítulo III
De la prevención y protección contra incendios </t>
  </si>
  <si>
    <t xml:space="preserve">a) La empresa puede demostrar que en caso de haber existido un incendio o exista la posibilidad de este, cumple con los siguientes aspectos - procedimientos: 
1. Verificar que en todo momento estén disponibles los medios de protección en todos los frentes de trabajo, donde haya riesgo de incendio, dentro o en los alrededores de la mina a cielo abierto;  
2. Designar a una persona competente para:  
2.1. Elaborar un plan de prevención contra incendios, en el cual se indiquen todos los sitios de la mina donde haya riesgo de incendio, naturaleza de ese riesgo y ubicación y tipo de material existente de lucha contra el fuego; y,  
2.2. Realizar inspecciones periódicas de todos los puntos estratégicos, dentro o en los alrededores de la mina, y de todo el material de lucha contra el fuego de lo cual debe quedar registro; y,  
3. Ls empresa ha determinado los procedimientos de urgencia para la lucha contra el fuego, la evacuación y el salvamento, y establecer un sistema de alarma de incendios que advierta rápidamente a todos los trabajadores que podrían estar en peligro.Artículo La empresa tiene previsto y controlado los procedimientos y controles para la prevención de incendios ? incluyendo  todos los recipientes de depósito, donde se conserven líquidos inflamables o combustibles ?  
1. Construidos de forma tal que:  
1.1. Puedan resistir a las presiones y tensiones del trabajo y con materiales indicados para el contenido previsto. Esto incluye tuberías, válvulas y conexiones y  
1.2. No puedan crearse presiones o vacíos como consecuencia de su llenado o vaciado, o debido a cambios en la temperatura atmosférica;  
2. En condiciones que se evite pérdidas o derrames;  
3. Separados de toda fuente de ignición y material combustible; y,  
4. Contenidos en estructuras de retención cuya capacidad equivalga al ciento diez (110%) por ciento del contenido máximo del tanque.  
Artículo 119. Lucha contra el fuego. El responsable de la aplicación y cumplimiento del presente reglamento debe contar con extintores para combatir el fuego, de la capacidad y tipo de fuego que se pueda presentar, distribuidos estratégicamente en:  
1. Locales donde se conserven grasas u otros materiales inflamables;  
2. Subestaciones eléctricas y áreas donde se ubiquen los centros de control de motores;  
3. Terminales de carga o parada de vehículos;  
4. Salas de máquinas, calderas, garajes para locomotoras o vehículos, talleres de mecánica y soldadura, almacenes y otras construcciones;  
5. Maquinarias que puedan originar fricción, chispas mecánicas o de combustión y/o superficies calientes;  
6. Equipos móviles utilizados en labores de arranque, cargue y transporte en las minas a cielo abierto, y  
7. Todos los vehículos y estaciones de aprovisionamiento de combustibles.  
Parágrafo 1. En todos los sitios donde se acumulen temporalmente desechos de materiales combustibles, incluidos los líquidos, deben instalarse equipos para la extinción de incendios.  
Parágrafo 2. Para el control de las fuentes de calor, se debe tener en cuenta que el diseño, ubicación, estado y condiciones de operación, cumplan con la normatividad vigente.  
Artículo 120. Extinción de incendios. Para la extinción de incendios el responsable de la aplicación y cumplimiento del presente reglamento debe:  
1. Tener en cuenta el tamaño de la mina y el número de trabajadores que laboran en la misma, para establecer uno o varios equipos de trabajadores capacitados, que actúen bajo la dirección de la persona competente, designada para los casos de incendio u otros casos de urgencia;  
2. Disponer de material móvil o portátil de lucha contra el fuego e instalar bocas de incendio o hidrantes donde corresponda; y,  
3. Capacitar a los trabajadores en el uso de equipos de extinción de incendios.  
d)  debe tener en cuenta que los lugares destinados para la ubicación de los extintores portátiles deben estar demarcados y señalizados tal como lo establece la normatividad vigente.  
e) La empresa , ha realizado la inspección periódica, mantenimiento y reposición, según sea el caso, de los sistemas y equipos de prevención y protección contra incendios, de acuerdo con lo contemplado en las normas nacionales e internacionales vigentes.  </t>
  </si>
  <si>
    <t xml:space="preserve">TÍítulo VIII
Preparación y respuesta ante emergencias y contingencias . Capítulo I . Generalidades </t>
  </si>
  <si>
    <t>Título . IV
De la ropa de trabajo equipos y elementos de protección. 
Capítulo. I
De la ropa de trabajo. Artículos 170  -  201</t>
  </si>
  <si>
    <t>1. ¿La empresa ha identificado los requisitos específicos de Resolución 2400/79 Art. 691-706 Condiciones para menores de edad y mujeres, Requisitos de salud, riesgos y controles en los trabajos nocturnos ?
2. ¿Se dispone de procedimientos, instructivos o formatos que permitan cumplir con las exigencias técnicas y administrativas   para menores de edad y mujeres, Requisitos de salud, riesgos y controles en los trabajos nocturnos ?</t>
  </si>
  <si>
    <t xml:space="preserve">Articulos comprendidos del 1- 90   </t>
  </si>
  <si>
    <t xml:space="preserve">decreto 614 </t>
  </si>
  <si>
    <t xml:space="preserve">DEROGADOS </t>
  </si>
  <si>
    <t xml:space="preserve">NO APLICAN </t>
  </si>
  <si>
    <r>
      <t>Aprueba el Convenio 161 de la OIT</t>
    </r>
    <r>
      <rPr>
        <b/>
        <sz val="11"/>
        <color rgb="FF0A0A0A"/>
        <rFont val="Calibri"/>
        <family val="2"/>
        <scheme val="minor"/>
      </rPr>
      <t> sobre los </t>
    </r>
    <r>
      <rPr>
        <b/>
        <sz val="11"/>
        <color theme="1"/>
        <rFont val="Calibri"/>
        <family val="2"/>
        <scheme val="minor"/>
      </rPr>
      <t>servicios de salud en el trabajo</t>
    </r>
  </si>
  <si>
    <t xml:space="preserve">ELIMINADOS </t>
  </si>
  <si>
    <t xml:space="preserve">2 filas de cod sustantivo del T repetidas </t>
  </si>
  <si>
    <t xml:space="preserve"> Artículos 149-  150 y 152 </t>
  </si>
  <si>
    <t xml:space="preserve">Artículos . 207- 210 </t>
  </si>
  <si>
    <t xml:space="preserve">
1. La empresa garantiza que todas las áreas de producción, trituración, molienda, hornos, patios de materias primas, zonas de cargue y descargue, campamentos y oficinas permanecen limpias, libres de acumulación de residuos, polvo de cemento, combustibles, aceites o materiales que generen riesgo para la salud o la seguridad.
2. Se implementan programas de limpieza rutinaria con frecuencia definida para remover polvo industrial, sedimentos y residuos derivados del proceso cementero y minero, contando con responsables asignados y evidencias de ejecución.
3. Los pisos, pasillos, escaleras, plataformas y áreas de tránsito se mantienen en condiciones que evitan caídas, resbalones y acumulación de materiales granulados o pegajosos originados por el proceso productivo.
4. Se controlan y eliminan rápidamente derrames de combustibles, aceites, lubricantes, aditivos o sustancias químicas, aplicando protocolos seguros de manejo, neutralización y disposición.
5. Se establecen procedimientos de limpieza que minimizan la generación secundaria de polvo, utilizando métodos húmedos, sistemas de aspiración industrial, barrido mecánico y captación de partículas cuando sea necesario.
6. Los recipientes y contenedores para residuos industriales, peligrosos y ordinarios se encuentran identificados, cerrados, en buen estado y ubicados estratégicamente para evitar desorden, contaminación y manipulación insegura.
7. Las áreas de almacenamiento de materias primas, explosivos, combustibles y sustancias químicas se mantienen limpias, con control estricto de residuos y sin acumulaciones que puedan favorecer explosiones, incendios o deterioro del material.
8. El personal encargado de limpieza y mantenimiento cuenta con los elementos de protección personal adecuados —respiradores, gafas, guantes, ropa anticorrosiva o antiestática— según los riesgos del área a intervenir.
9. Los sistemas de drenaje, canales, alcantarillado industrial y trampas de grasas se mantienen limpios, libres de obstrucciones y con mantenimiento preventivo documentado para evitar desbordamientos y contaminación ambiental.
10. Las instalaciones sanitarias, comedores, vestieres y duchas se mantienen en condiciones higiénicas adecuadas, con limpieza periódica y disponibilidad de agua, jabón y suministros suficientes para los trabajadores.
11. Toda actividad de limpieza en áreas de riesgo (hornos, bandas transportadoras, silos, frentes de explotación, áreas confinadas) se realiza con procedimientos de bloqueo-etiquetado , capacitación previa y supervisión cuando aplica.
12. La empresa dispone de un plan de manejo de residuos sólidos que garantiza la recolección, transporte, almacenamiento temporal y disposición final de forma segura y acorde a la normatividad ambiental y de salud pública.
13. Se implementan acciones para evitar la proliferación de roedores, insectos y otros vectores en zonas de almacenamiento, campamentos y áreas con presencia de residuos orgánicos o materiales susceptibles.
14. La limpieza de equipos de trituración, mezclado, bandas, filtros y sistemas de captación de partículas se realiza bajo protocolos seguros que evitan exposiciones a polvo respirable, liberación de partículas y atrapamientos mecánicos.
15. La empresa realiza inspecciones periódicas para verificar el estado de limpieza de las instalaciones, con registros, hallazgos y planes de mejora documentados.
</t>
  </si>
  <si>
    <t xml:space="preserve">Artículos 105 - 110 Sobre los agentes físicos </t>
  </si>
  <si>
    <t xml:space="preserve">
1. La empresa identifica, mide y evalúa de manera periódica la exposición de los trabajadores a ruido generado por trituración, perforación, voladuras, maquinaria pesada, hornos y bandas transportadoras, utilizando equipos calibrados y siguiendo metodologías reconocidas.
2. Se implementan controles en la fuente para reducir el ruido industrial, como mantenimiento preventivo de maquinaria, aislamiento acústico, encapsulamiento, uso de silenciadores y mejoras en los procesos de trituración y molienda.
3. Los trabajadores expuestos a niveles de ruido superiores a los límites permisibles cuentan con protectores auditivos certificados, con programas de mantenimiento, recambio y entrenamiento sobre su uso adecuado.
4. Se evalúan y controlan las vibraciones transmitidas al cuerpo entero o a las manos y brazos generadas por perforadoras, martillos neumáticos, maquinaria pesada y vehículos de minería, aplicando medidas de ingeniería, rotación de tareas y mantenimiento preventivo.
5. Se realiza medición periódica de iluminación en áreas como molienda, hornos, cintas transportadoras, frentes de explotación, talleres, laboratorios, cuartos eléctricos, salas de control y zonas de circulación, garantizando niveles adecuados para prevenir accidentes y fatiga visual.
6. Se corrigen deficiencias de iluminación mediante sustitución de luminarias, redistribución de puntos de luz, limpieza de superficies y control del deslumbramiento, particularmente en áreas de minería a cielo abierto donde la variabilidad ambiental puede afectar la visibilidad.
7. Se controla la exposición a temperaturas extremas derivadas del trabajo en hornos cementeros, fundición de clínker y labores al aire libre en zonas de alta radiación solar, implementando pausas de recuperación, hidratación, ropa adecuada y vigilancia clínica.
8. Se evalúa la humedad y ventilación en túneles, silos, cuartos de máquinas y espacios confinados, garantizando sistemas adecuados que prevengan acumulación de calor, gases o condiciones peligrosas.
9. La empresa controla la radiación no ionizante proveniente de soldaduras, hornos, equipos eléctricos, comunicaciones y fuentes de calor, garantizando distancias seguras, barreras, entrenamiento y elementos de protección específicos.
10. Las exposiciones a radiación ultravioleta por actividades a cielo abierto se manejan con medidas de protección como ropa UV, bloqueador solar institucional, cascos con visera y programas de educación para el personal.
11. Se realizan mediciones periódicas de agentes físicos siguiendo protocolos estandarizados, con registros documentados, informes técnicos, tendencias históricas y planes de acción derivados de los resultados.
12. La empresa cuenta con procedimientos de trabajo seguros para actividades con agentes físicos críticos, incluyendo protocolos para zonas ruidosas, espacios confinados, áreas de calor extremo, frentes de perforación y soldaduras.
13. Se realizan capacitaciones periódicas al personal sobre riesgos asociados a ruido, vibración, iluminación, temperatura, radiación solar y radiación no ionizante, con evidencia de asistencia y evaluación de comprensión.
14. Los resultados de la vigilancia de agentes físicos se articulan con los sistemas de vigilancia epidemiológica para hipoacusia, estrés térmico, trastornos musculoesqueléticos y fatiga visual, integrando hallazgos clínicos y ambientales.
15. La empresa implementa mejoras continuas derivadas de hallazgos en monitoreos, inspecciones, investigación de incidentes y recomendaciones de higiene industrial, con responsables asignados y seguimiento.
</t>
  </si>
  <si>
    <t xml:space="preserve">1 fila riesgos físicos de ley 9 ya estba </t>
  </si>
  <si>
    <t xml:space="preserve">ArtÍculos  84 y 85 </t>
  </si>
  <si>
    <t xml:space="preserve">
1. La empresa mantiene ambientes de trabajo en condiciones adecuadas de higiene y seguridad, con métodos operativos diseñados para minimizar los riesgos para la salud en cada proceso productivo, incluyendo trituración, molienda, transporte de materiales, operación de hornos y actividades mineras.
2. La empresa garantiza el cumplimiento de las disposiciones establecidas en la Ley 9 de 1979 y en las demás normas vigentes de seguridad y salud en el trabajo, verificando que las obligaciones se apliquen de manera consistente en todas las áreas.
3. La organización mantiene un programa permanente y documentado de medicina, higiene y seguridad en el trabajo, orientado a proteger la salud de los trabajadores y alineado con los requisitos legales y técnicos del sistema de gestión.
4. La empresa adopta medidas efectivas para proteger y promover la salud del personal, asegurando la instalación, operación y mantenimiento preventivo y correctivo de equipos y sistemas de control necesarios para prevenir enfermedades y accidentes laborales.
5. Se lleva un registro completo, actualizado y verificable de los accidentes de trabajo, incidentes peligrosos, enfermedades laborales y actividades realizadas para la protección de la salud de los trabajadores, garantizando su notificación oportuna a las autoridades competentes.
6. La empresa facilita el acceso, acompañamiento e información requerida por las autoridades en las inspecciones, investigaciones o verificaciones que sean necesarias para evaluar las condiciones de trabajo.
7. Se ejecutan programas de capacitación continua dirigidos a los trabajadores sobre los riesgos a los que están expuestos, las medidas preventivas, los controles existentes y las formas correctas de actuar ante situaciones peligrosas.
8. La empresa verifica que los trabajadores independientes, contratistas y proveedores cumplan con las medidas preventivas necesarias para controlar los riesgos derivados de sus actividades, protegiendo su salud y la de terceros durante la ejecución de los trabajos.
9. Los trabajadores cumplen con las disposiciones establecidas en la legislación aplicable, así como con el reglamento interno de medicina, higiene y seguridad adoptado por la empresa.
10. El personal utiliza y mantiene correctamente los dispositivos de control de riesgos y los elementos de protección personal entregados, y colabora en el mantenimiento del orden y la limpieza en sus áreas de trabajo.
11. Los trabajadores participan activamente en la implementación, mantenimiento y mejora de las medidas de prevención y control de riesgos definidas por la empresa para su área o proceso operativo.
</t>
  </si>
  <si>
    <t xml:space="preserve">Responsabilidades del empleador  </t>
  </si>
  <si>
    <t xml:space="preserve">art 28 y 207 no tenía logica ni tema en común y el tema de basuras ya está tratado en limpieza </t>
  </si>
  <si>
    <t xml:space="preserve">art 496 - 205 sin relación misma norma ley 9 </t>
  </si>
  <si>
    <t xml:space="preserve">Artículos  Art  41 - 49. De las emisiones atmosféricas </t>
  </si>
  <si>
    <t xml:space="preserve">
1. La empresa verifica que sus operaciones cumplen las normas de calidad del aire emitidas por el Ministerio de Salud (hoy MinSalud/MinAmbiente), incluyendo los límites aplicables a material particulado, gases y otras sustancias generadas en procesos de clinkerización, molienda, transporte y minería.
2. La empresa garantiza que todas sus fuentes de emisión, fijas o móviles, se ajustan a las normas de emisión establecidas por el Ministerio de Salud, verificando específicamente las descargas provenientes de hornos, chimeneas, bandas transportadoras, trituradores, frentes mineros y maquinaria pesada.
3. La empresa realiza seguimiento a las tasas de descarga de contaminantes atmosféricos, asegurando que se encuentran dentro de los límites permitidos considerando las características topográficas y meteorológicas de la zona donde operan las plantas y minas.
4. La empresa evita cualquier descarga al aire en concentraciones o cantidades superiores a los límites establecidos por la reglamentación vigente, contando con registros y evidencias que demuestren el cumplimiento.
5. Cuando existe riesgo de superar los límites normativos de emisión, la empresa implementa de manera inmediata los sistemas de tratamiento, corrección o control necesarios para ajustar sus emisiones a los valores permitidos.
6. La empresa cuenta con las autorizaciones requeridas para operar, ampliar o modificar instalaciones que constituyan fuentes fijas de emisión, incluyendo hornos, chimeneas industriales, plantas de concreto, trituradoras y equipos mineros; así mismo conserva la documentación vigente y disponible para auditoría.
7. La empresa cumple los requisitos establecidos en las autorizaciones de emisiones otorgadas por la autoridad competente; en caso contrario, evidencia acciones correctivas para evitar sanciones asociadas al incumplimiento.
8. La empresa aplica las exigencias de la autoridad sanitaria o ambiental relacionadas con el cambio, modificación o adición de dispositivos en fuentes móviles (camiones, volquetas, maquinaria amarilla) cuando dichas medidas son requeridas para mejorar la calidad de sus emisiones.
9. La empresa acata las decisiones de la autoridad cuando se impide la circulación de fuentes móviles que no permiten aplicar medidas correctivas por fallas de modelo, combustible o diseño, garantizando que dichos vehículos no operan en el sitio de trabajo.
10. La empresa cumple las restricciones o condiciones impuestas a la circulación de maquinaria o vehículos cuando estas se establecen por razones de calidad del aire, condiciones urbanísticas o características atmosféricas del área de operación.
11. La empresa evita el tránsito de fuentes móviles que produzcan ruidos excesivos derivados del funcionamiento normal o de modificaciones mecánicas, asegurando que la maquinaria se encuentre en buen estado y sin alteraciones.
12. La empresa no utiliza combustibles que contengan sustancias o aditivos en concentraciones que puedan generar emisiones por encima de los límites establecidos por el Ministerio de Salud o la autoridad ambiental, garantizando la trazabilidad y especificaciones técnicas del combustible adquirido.
</t>
  </si>
  <si>
    <t xml:space="preserve">Artículos comprendidos del  80 -89 </t>
  </si>
  <si>
    <t xml:space="preserve">Sobre salud ocupacional de empleador y contratistas </t>
  </si>
  <si>
    <t xml:space="preserve">
1. La empresa demuestra que implementa medidas preventivas para evitar cualquier daño a la salud derivado de las condiciones de trabajo en plantas cementeras, operaciones mineras y actividades constructivas.
2. La empresa protege a los trabajadores frente a riesgos por agentes físicos, químicos, biológicos, mecánicos y orgánicos presentes en hornos, trituradoras, bandas, almacenamiento de materias primas y frentes mineros.
3. La empresa cuenta con controles para eliminar o mantener bajo niveles seguros los agentes nocivos para la salud generados en sus procesos industriales y mineros.
4. La empresa implementa acciones para proteger a los trabajadores y a la comunidad frente a riesgos causados por radiaciones ionizantes o no ionizantes presentes en equipos de proceso, medición o laboratorio.
5. La empresa previene riesgos derivados de la producción, transporte, almacenamiento, uso y disposición de sustancias peligrosas, como combustibles, explosivos, aditivos, solventes, lubricantes o materias primas utilizadas en la fabricación de cemento y minería.
6. La empresa reconoce la salud de los trabajadores como condición esencial para el desarrollo y demuestra que sus actividades de protección y prevención responden a este carácter de interés social y sanitario.
7. La empresa aplica las disposiciones de este título en todos los lugares de trabajo, independientemente de la forma contractual de la operación, incluyendo contratistas, subcontratistas y frentes de obra.
8. Los contratistas que participan en actividades de Holcim cumplen las mismas obligaciones de higiene y seguridad establecidas para cualquier empleador según esta Ley.
9. La empresa se ajusta a las regulaciones técnicas y administrativas que el Ministerio de Salud o la autoridad competente expida sobre protección y conservación de la salud de los trabajadores, manteniendo evidencia de su cumplimiento.
10. La empresa colabora con acciones de investigación, control, vigilancia y actividades educativas que la autoridad sanitaria promueva para proteger la salud de las personas que trabajan.
11. La empresa utiliza sustancias, equipos, maquinarias y aparatos solo si cumplen los requisitos definidos por la autoridad sanitaria y evita el uso de aquellos que representen peligro grave para la salud.
12. La empresa garantiza que el ambiente de trabajo se mantenga en condiciones adecuadas de higiene y seguridad, adoptando métodos operativos que minimicen riesgos durante todo el proceso productivo.
13. La empresa cumple y exige el cumplimiento de todas las disposiciones de la Ley 9 de 1979 y normas relacionadas con salud ocupacional dentro de sus instalaciones y operaciones mineras.
14. La empresa mantiene un programa permanente de medicina, higiene y seguridad destinado a proteger la salud de los trabajadores, en coherencia con esta Ley y sus reglamentaciones.
15. La empresa adopta y mantiene los sistemas y equipos de control necesarios para prevenir enfermedades y accidentes, asegurando su operación, mantenimiento y eficacia.
16. La empresa registra y notifica oportunamente los accidentes y enfermedades laborales, además de las acciones que ejecuta para proteger la salud de los trabajadores.
17. La empresa facilita el acceso a las autoridades competentes para la realización de inspecciones e investigaciones dentro de las instalaciones y zonas de trabajo, incluidas las áreas mineras.
18. La empresa desarrolla programas educativos sobre los riesgos presentes y los métodos de prevención y control aplicables a las actividades cementeras, mineras y constructivas.
19. Los trabajadores independientes que realizan labores para Holcim adoptan medidas preventivas para proteger su salud y la de terceros, según lo establecido por esta Ley.
20. Los trabajadores cumplen las disposiciones legales y reglamentarias de higiene, medicina y seguridad, así como los reglamentos internos establecidos por la empresa.
21. Los trabajadores usan y mantienen correctamente los dispositivos de control de riesgos y los equipos de protección personal, manteniendo orden y aseo en los lugares de trabajo.
22. Los trabajadores colaboran activamente en la implementación y mantenimiento de medidas de prevención de riesgos adoptadas en el lugar de trabajo.
23. La empresa garantiza el cumplimiento de normas complementarias expedidas por el Gobierno para prevenir accidentes y enfermedades relacionados con la producción de sustancias, equipos, instrumentos y vehículos utilizados por Holcim.
24. La empresa asegura que las personas o entidades que prestan servicios de salud ocupacional se encuentren bajo la supervisión y vigilancia del Ministerio de Salud o la entidad delegada.
25. La empresa exige que toda persona que ingrese a cualquier lugar de trabajo cumpla las normas de higiene y seguridad, incluyendo visitantes, proveedores y contratistas.
26. La empresa cuenta con la licencia establecida por la Ley para el funcionamiento de sus centros de trabajo, manteniéndola vigente y disponible para revisión.
</t>
  </si>
  <si>
    <t xml:space="preserve">1. ¿La empresa identifica los riesgos derivados de las condiciones de trabajo y define los EPP requeridos para prevenir daños a la salud por exposición a agentes físicos, químicos, biológicos, mecánicos, orgánicos, radiaciones o sustancias peligrosas?
2. ¿Se proporcionan a todos los trabajadores los EPP adecuados según los peligros identificados, garantizando que cumplen normas técnicas de calidad y que están en condiciones óptimas de higiene y seguridad?
3. ¿La empresa mantiene actualizados los métodos de trabajo para que el uso de EPP sea obligatorio en tareas de riesgo y verifica que estos métodos efectivamente minimicen la exposición a los agentes nocivos?
4. ¿Existe un programa permanente que incluya selección, dotación, reposición, mantenimiento, limpieza, almacenamiento y seguimiento del uso obligatorio de EPP, como parte del sistema de medicina, higiene y seguridad en el trabajo?
5. ¿Se adoptan medidas efectivas para asegurar que los EPP instalados o entregados protegen y promueven la salud de los trabajadores, incluyendo la verificación del estado de los equipos y su funcionamiento adecuado?
6. ¿La empresa registra y notifica accidentes o enfermedades relacionados con fallas en el uso, ausencia o inadecuación de EPP, e implementa acciones correctivas y preventivas basadas en dichos registros?
7. ¿Se facilitan las inspecciones de las autoridades y se cuenta con evidencia de control sobre dotación de EPP, entrenamiento, listas de chequeo, registros de entrega y cumplimiento del uso obligatorio?
8. ¿La empresa desarrolla programas educativos donde se instruye a los trabajadores sobre los riesgos a los que están expuestos y sobre el uso correcto, mantenimiento y función de cada EPP asignado?
9. ¿Los trabajadores cumplen con la obligación legal de usar, mantener adecuadamente y conservar en orden y aseo todos los EPP suministrados, y la empresa verifica ese cumplimiento?
10. ¿Los contratistas y trabajadores independientes reciben instrucción sobre los EPP requeridos y están obligados a utilizarlos para proteger su salud y la de terceros durante sus labores?
11. ¿Las personas que prestan servicios de salud ocupacional supervisan la idoneidad de los EPP, reportan hallazgos y verifican que su uso esté alineado con los riesgos presentes?
12. ¿Toda persona que ingresa al lugar de trabajo (visitantes, proveedores, interventores) recibe y usa los EPP necesarios según las condiciones del área que visita?
13. ¿El centro de trabajo cuenta con las licencias requeridas y demuestra que cumple con las regulaciones del Ministerio de Salud relacionadas con la protección de los trabajadores mediante EPP en ambientes con riesgos identificados?
</t>
  </si>
  <si>
    <t xml:space="preserve">Físico. Radiaciones </t>
  </si>
  <si>
    <t xml:space="preserve">
Capítulo. V
Radiaciones ionizantes. Artículos. 97-109 . Radiaciones ionizantes</t>
  </si>
  <si>
    <t>RADIACIONES IONIZANTES</t>
  </si>
  <si>
    <t xml:space="preserve">
1. ¿La empresa identifica correctamente todas las fuentes, tipos y características de radiaciones ionizantes presentes en el proceso (rayos X, gamma, beta, alfa, neutrones), incluyendo su actividad, radio toxicidad, potencial de contaminación y riesgo de irradiación interna o externa, y las clasifica según lo definido en la Ley 9 de 1979?   2. ¿Se realiza la caracterización del peligro radiológico considerando radiactividad, actividad específica, dosis absorbida, dosis equivalente (Rem), eficiencia biológica relativa y límites establecidos por la Comisión Internacional de Protección Radiológica?    3. ¿La empresa controla las radiaciones ionizantes en todas las actividades donde se producen, manipulan, emplean, almacenan, transportan o desechan fuentes radiactivas, garantizando que las exposiciones no superen los límites recomendados internacionalmente?   4. ¿Se evalúan y registran las dosis acumulativas de exposición, integrando radiación interna, radiación externa y radiación natural, según lo exigido por la normativa?   5. ¿La empresa evita que menores de 18 años, mujeres menores de 21 años, mujeres casadas en edad fértil y mujeres solteras con proximidad al matrimonio realicen trabajos donde las dosis puedan superar los límites de 1.5 Rems al año?   6. ¿Los trabajadores expuestos reciben exámenes médicos integrales cada seis meses, incluyendo valoración clínica y exámenes complementarios relacionados con exposición a radiación?   7. ¿Todo trabajador expuesto porta de manera permanente dosímetros (de bolsillo, película o cámara) para medir la dosis acumulada mientras permanece en áreas vigiladas, y se realiza lectura y registro mensual como mínimo?   8. ¿La empresa controla que la dosis acumulada de cada trabajador no sobrepase el valor máximo admisible calculado con la fórmula D = 5 (N – 18), aplicable a cuerpo entero, gónadas, órganos hematopoyéticos y cristalinos?   9. ¿En caso de exposiciones trimestrales, la empresa verifica que no se excedan los límites de 3 Rems para cuerpo entero y órganos críticos, y que este valor anual se evite especialmente en mujeres en edad de procrear?  10. ¿Los trabajadores cuya dosis acumulada se aproxima al límite permisible son retirados de áreas de exposición alta hasta que los niveles vuelvan a estar por debajo del valor permitido por la fórmula?   11. ¿Los trabajadores expuestos antes de los 18 años cumplen los límites máximos anuales de 5 Rems y los límites de dosis acumulada antes de los 30 años, respetando los valores específicos para órganos como hueso, tiroides, piel, manos, antebrazos y tobillos?    12. ¿Todos los equipos y materiales que emiten radiaciones ionizantes están aislados mediante blindajes, barreras, muros protectores o pantallas diseñadas específicamente para evitar irradiación o contaminación a trabajadores y terceros?  13. ¿La empresa controla la exposición mediante los métodos de protección radiológica reconocidos: aumento de la distancia conforme a la ley del cuadrado inverso, instalación de pantallas o escudos adecuados y limitación estricta del tiempo de exposición?   14. ¿Las medidas de prevención para riesgos de irradiación interna incluyen dispositivos de manipulación segura, filtros de aire, eliminación del barrido en seco, uso de campanas especiales, filtración o lavado del aire, lavado de ropa contaminada y control estricto del consumo de alimentos, bebidas y objetos personales en áreas con material radiactivo?   15. ¿Los laboratorios y áreas de radiación están diseñados con superficies y materiales que permitan limpieza exhaustiva y descontaminación eficiente en caso de incidentes?   16. ¿El personal expuesto recibe y utiliza los elementos de protección personal especializados para radiaciones ionizantes (delantales, guantes, anteojos y gorros de caucho plomizo), de acuerdo con normas internacionales y ajustados al tipo y energía de las partículas o radiaciones presentes?
</t>
  </si>
  <si>
    <t xml:space="preserve">
1. ¿Las herramientas portátiles accionadas por fuerza motriz utilizadas en planta cementera, frentes de minería o obras civiles están construidas de manera que ninguna parte expuesta con movimiento giratorio o alternativo sobresalga y represente riesgo de atrapamiento o proyección?
2. ¿Las herramientas eléctricas son revisadas antes de su uso para detectar aislamientos defectuosos, cables rotos o conexiones inseguras, y todas las herramientas que operan con más de 50 voltios cuentan con conexión a tierra funcional y verificada?
3. ¿Se evita el uso de herramientas de mano con voltajes superiores a 120 voltios incluso cuando tengan conexión a tierra, cumpliendo estrictamente la restricción establecida por la norma?
4. ¿Se prohíbe el uso de herramientas eléctricas en áreas donde puedan existir gases o vapores inflamables propios de procesos industriales o actividades de mantenimiento, a menos que los equipos sean certificados como a prueba de explosión?
5. ¿Las herramientas eléctricas con envolturas metálicas cuentan con empuñaduras dieléctricas o aislantes que permitan la operación segura en áreas húmedas, polvorientas o expuestas a descargas?
6. ¿Las piezas que serán intervenidas con herramientas portátiles no son sostenidas con las manos, sino mediante prensas, bancos o dispositivos de sujeción adecuados que eviten atrapamientos o pérdidas de control?
7. ¿Los operadores de herramientas eléctricas trabajan únicamente sobre pisos secos, no metálicos, sin humedad y utilizando ropa completamente seca, para evitar riesgo de electrocución?
8. ¿Las mangueras utilizadas con herramientas accionadas por aire o gas comprimido son de buena calidad, tienen conexiones firmes, no presentan deterioro y no se colocan en pasillos ni zonas de circulación donde puedan generar tropiezos o daños?
9. ¿Antes de presurizar la línea de aire o gas, el operador verifica que la válvula de control de la herramienta se encuentre cerrada y se asegura de que la presión no exceda el valor máximo recomendado por el fabricante?
10. ¿Antes de cambiar una herramienta neumática por otra se cierra la válvula de paso del aire o gas sin doblar la manguera, evitando daños estructurales y fugas?
11. ¿Los gatillos de operación de las herramientas neumáticas están diseñados y ubicados de manera que impidan arranques accidentales y aseguren el cierre automático de la válvula de entrada de aire cuando el operario libera la presión?
12. ¿Los cuchillos circulares de herramientas portátiles cuentan con resguardos que cubren completamente los filos y se mantienen lo más cerca posible del material para evitar contacto accidental o proyección?
13. ¿Las sierras circulares portátiles incluyen protectores fijos que cubren las partes expuestas de la hoja y cuentan con cuchillos divisores ajustables que siguen el perfil de la hoja y mantienen la separación indicada para evitar retrocesos?
14. ¿Los operadores de herramientas portátiles disponen de gafas o viseras cuando existe riesgo de partículas proyectadas y utilizan respiradores, capuchones o máscaras cuando la tarea genera polvos peligrosos que no pueden eliminarse en el punto de origen?
15. ¿Las herramientas neumáticas empleadas en el corte de remaches están equipadas con canastas recolectoras de cabezas de remache y los operarios utilizan protección adecuada para ojos y cabeza?
16. ¿Los taladros, barrenos y tarrajas utilizados con herramientas eléctricas portátiles cuentan con mangas telescópicas o resguardos de tipo muelle que previenen atrapamientos y salidas proyectadas?
17. ¿Las mangueras y conexiones que suministran aire comprimido a herramientas neumáticas portátiles están diseñadas para la presión de operación, están firmemente unidas a las salidas permanentes y se mantienen fuera de pasillos y zonas de tránsito para evitar tropiezos y deterioro?
18. ¿Se encuentra prohibida y controlada la práctica de expulsar la herramienta de trabajo del equipo neumático utilizando presión de aire, asegurando que esta operación se realice únicamente con la mano como exige la norma?
</t>
  </si>
  <si>
    <t xml:space="preserve">
1. ¿La empresa realiza estudios técnicos para identificar fuentes de ruido en plantas cementeras, frentes de minería y obras civiles, aplicando métodos para reducir o amortiguar el ruido, incluyendo la revisión, ajuste o reemplazo de maquinaria en mal estado y la sustitución de engranajes metálicos por materiales menos ruidosos cuando es posible?
2. ¿Los motores de combustión utilizados en equipos móviles y maquinaria pesada cuentan con silenciadores eficientes y en buen estado de funcionamiento?
3. ¿El nivel de ruido continuo en los puestos de trabajo se mantiene por debajo de 85 decibeles medidos en la zona habitual de la cabeza del trabajador y se verifica mediante mediciones periódicas?
4. ¿En los lugares donde los niveles de ruido superan el límite permisible de 85 decibeles se realizan estudios ambientales con instrumentos que determinen presión sonora y frecuencias?
5. ¿El control del ruido en los procesos industriales incluye métodos como encerramientos totales o parciales de maquinaria, instalación de materiales absorbentes en superficies que reflejan ruido, aislamiento de vibraciones y sustitución de piezas sueltas o desgastadas, además del mantenimiento adecuado del equipo?
6. ¿Se aplican controles entre la fuente de ruido y los trabajadores, tales como barreras acústicas, pantallas absorbentes o aumento de la distancia entre la fuente y el personal?
7. ¿La empresa limita el tiempo de exposición a ruido de los trabajadores expuestos, aplica rotaciones o pausas y retira de áreas ruidosas a trabajadores hipersensibles cuando es necesario?
8. ¿Se suministran y supervisa el uso de elementos de protección auditiva como tapones y orejeras a todos los trabajadores expuestos a niveles superiores a 85 decibeles, independientemente del tiempo de exposición y de la frecuencia del ruido?
9. ¿Los trabajadores expuestos a ruido por encima de los niveles permitidos cuentan con exámenes médicos periódicos que incluyen audiometrías semestrales financiadas por la empresa?
10. ¿En áreas donde los niveles de ruido superan 85 decibeles con frecuencias mayores a 500 Hz se verifica que los trabajadores utilizan protección auditiva adecuada y que se implementan medidas adicionales cuando no es posible reducir o controlar el ruido en la fuente?
11. ¿En oficinas o espacios donde predominan labores administrativas se mantienen niveles de ruido inferiores a 70 decibeles, garantizando condiciones adecuadas para actividades intelectuales?
12. ¿Cuando las medidas de control no logran evitar fatiga nerviosa u otros efectos adversos del ruido, se otorgan pausas de descanso y se implementan sistemas de rotación para prevenir alteraciones en la salud del personal?
13. ¿En áreas donde se generan vibraciones por el uso de herramientas, equipos o maquinaria se aplican métodos de control como el mejoramiento del diseño, soporte o peso de los equipos, o incluso la sustitución del equipo cuando es viable?
14. ¿El personal que opera herramientas o equipos que generan vibraciones recibe entrenamiento específico sobre su uso adecuado para evitar esfuerzos innecesarios o técnicas que aumenten la exposición a vibración mano-brazo o cuerpo entero?
15. ¿Se realiza la selección adecuada del personal asignado a labores con vibración, evitando exponer a trabajadores con condiciones que los hagan más susceptibles?
16. ¿Se reduce la jornada o se implementan rotaciones para trabajadores expuestos a vibraciones significativas con el fin de prevenir lesiones osteoarticulares, neurológicas o vasomotoras?
17. ¿Los conductos con circulación forzada de líquidos o gases cuentan con dispositivos que impiden la transmisión de vibración hacia las estructuras o maquinaria conectada?
18. ¿Las máquinas y herramientas que generan trepidación, como martillos neumáticos, compactadoras, remachadoras o trituradoras, cuentan con horquillas o dispositivos amortiguadores, y los trabajadores que las usan reciben equipo de protección adecuado para atenuar vibraciones?
19. ¿El anclaje de máquinas y equipos que producen ruido o vibraciones se realiza con técnicas que aseguren un equilibrio estático y dinámico óptimo, previniendo resonancias o intensificación del ruido?
20. ¿La empresa evita instalar maquinaria ruidosa adyacente a paredes o columnas y mantiene una distancia mínima de un metro para prevenir la amplificación del ruido y la transmisión estructural de vibración?
</t>
  </si>
  <si>
    <t xml:space="preserve">Artículos 88- 96 sobre Ruido y vibraciones </t>
  </si>
  <si>
    <t xml:space="preserve">Ruido y vibraciones </t>
  </si>
  <si>
    <t>Riesgo Físico.                              Ruido y Vibraciones.</t>
  </si>
  <si>
    <t xml:space="preserve">Temperatura humedad </t>
  </si>
  <si>
    <t xml:space="preserve">
1. ¿La temperatura y humedad relativa de los ambientes cerrados de trabajo se mantienen dentro de rangos que no resulten desagradables ni perjudiciales para la salud, considerando las características propias de la operación industrial?
2. ¿En los lugares donde existen fuentes importantes de calor, como hornos o superficies incandescentes, se han instalado dispositivos para reflejar, aislar y reducir la transmisión del calor hacia el trabajador?
3. ¿Los trabajadores expuestos a fuentes de calor utilizan protección adecuada contra radiación térmica, como ropa especial, pantallas, protectores faciales o guantes térmicos?
4. ¿Los trabajadores están protegidos de corrientes de aire, cambios bruscos de temperatura y niveles extremos de humedad o sequedad mediante medios naturales o artificiales?
5. ¿Cuando las operaciones se realizan en ambientes con temperaturas muy bajas o muy altas, se aplican pausas, relevos periódicos o rotación para limitar el tiempo de exposición?
6. ¿La empresa realiza evaluaciones del ambiente térmico utilizando el índice WBGT, considerando temperatura húmeda, temperatura de globo, temperatura seca y la exposición ocupacional promedio?
7. ¿Se calcula el índice de tensión térmica teniendo en cuenta el metabolismo del trabajador, la convección, la radiación y otros factores energéticos relevantes?
8. ¿Cuando se requiere evaluar el índice de temperatura efectiva, se consideran temperatura seca, temperatura húmeda y velocidad del aire como lo exige la normativa?
9. ¿En áreas donde se realizan procesos a bajas temperaturas, como cuartos fríos, se suministran overoles semipermeables con materiales aislantes, capuchas especiales, botas adecuadas y doble par de guantes?
10. ¿En cuartos fríos con temperaturas entre 0 °C y –20 °C o menores se restringe el uso de suela de caucho esponjosa y se gestionan tiempos de exposición entre dos y cuatro horas, con descansos de una hora y trabajo por parejas?
11. ¿Los trabajadores en cuartos fríos reciben orientación y vigilancia para evitar entumecimiento y contracción muscular en cara y extremidades?
12. ¿En sitios de trabajo con temperaturas elevadas se cuenta con duchas con agua fría y caliente ubicadas de forma accesible para los trabajadores?
13. ¿En estas áreas se ofrecen instalaciones adecuadas para cambio de ropa al finalizar la jornada, garantizando higiene y recuperación térmica?
14. ¿Existe suministro de agua potable cercano a los puestos donde se trabaja con calor, y se promueve la adecuada hidratación del personal?
15. ¿Las instalaciones de calefacción utilizadas en las áreas de trabajo cuentan con medidas que previenen incendios y evitan la emisión de gases nocivos?
16. ¿La calefacción instalada no genera exposición excesiva a calor radiante ni corrientes de aire que puedan afectar el bienestar de los trabajadores?
17. ¿En locales de trabajo semiabiertos como hangares o cobertizos existe protección adecuada contra radiación solar directa, lluvia, corrientes de aire y otros factores climáticos adversos?
18. ¿En todas las áreas de trabajo se han adoptado medidas de control ambiental para regular temperatura, radiación térmica, convección, conducción, humedad relativa y movimiento del aire, de manera que se prevengan efectos adversos sobre la salud y el rendimiento laboral?
</t>
  </si>
  <si>
    <t xml:space="preserve">
1. ¿La empresa utiliza de manera consistente los colores básicos recomendados por los estándares internacionales (incluyendo ASA) para identificar máquinas, equipos, tuberías, ductos, instalaciones locativas y cualquier elemento cuya identificación por color contribuya a prevenir accidentes o enfermedades laborales?
2. ¿Los elementos de protección contra incendios (extintores, hidrantes, tuberías, cajas de mangueras, alarmas, puertas de escape, recipientes de líquidos inflamables y botones de parada de emergencia) están pintados y señalizados en color rojo según la normatividad?
3. ¿Las partes peligrosas de maquinaria, bordes expuestos de engranajes o mecanismos de corte, contornos de cajas de control y zonas que representen riesgo mecánico están identificadas de manera visible en color naranja?
4. ¿Las zonas que requieren precaución, bordes sin guarda, aberturas en piso o muros, plataformas, estructuras que sobresalen, equipos móviles, áreas de almacenamiento y demarcaciones de seguridad utilizan correctamente el color amarillo y sus franjas reglamentarias?
5. ¿Los elementos relacionados con seguridad asistencial (botiquines, camillas, instrucciones de seguridad, máscaras contra gases) y los botones de arranque de maquinaria están identificados en color verde esmeralda de manera visible y uniforme?
6. ¿Los bancos de madera están pintados en verde limonado y las partes fijas de maquinaria, guardas, bancos metálicos y motores integrados a equipos están identificados en verde pálido, según la clasificación aplicable?
7. ¿Los avisos de maquinaria en mantenimiento, equipos fuera de servicio, controles o fuentes de poder que requieren verificación previa al uso, recipientes de lubricantes y cajas eléctricas utilizan adecuadamente el color azul para advertir prevención o restricción de operación?
8. ¿Los elementos metálicos expuestos al sol, cilindros de gas propano, partes de motores, hornos, cubiertas metálicas, silenciadores y acero estructural están correctamente identificados en color aluminio cuando aplica?
9. ¿Los recipientes de basura, armarios de aseo y lockers están pintados en color gris conforme a su clasificación en el código de colores?
10. ¿Las partes móviles de maquinaria, volantes, brazos de palanca y marcos de tableros están identificados en color marfil para facilitar la visibilidad de zonas de operación?
11. ¿Los equipos, recipientes o áreas que involucren riesgo por radiación ionizante o materiales radiactivos están claramente señalizados con color púrpura?
12. ¿Las zonas de circulación, sentidos de desplazamiento, áreas para recipientes de basura y demarcaciones específicas en pisos están señalizadas con color blanco, con las dimensiones reglamentarias?
13. ¿Las tuberías de corriente trifásica, bajantes de aguas negras y bases de máquinas utilizan el color negro con las franjas reglamentarias (incluyendo franjas naranjas donde corresponda) para garantizar su identificación?
14. ¿Las tuberías de vapor, combustibles, gases de combustión y acetileno están correctamente pintadas en color naranja, y las tuberías de agua fría y caliente, ventilación o extracción están pintadas en gris con sus franjas diferenciadoras cuando corresponde?
15. ¿Las tuberías y ductos que conducen oxígeno, lubricantes, aguas lluvias o aguas de pozos profundos están identificadas en color azul, y las que transportan aire comprimido, amoniaco o soluciones químicas en color amarillo con distintivos específicos del contenido?
16. ¿Las tuberías de materiales granulados, ductos seguros y mangueras de oxígeno en soldadura están señalizadas en color verde, y las tuberías de condensado de vapor en color café según la clasificación establecida?
17. ¿Las tuberías de refrigeración, vacío y sistemas afines están pintadas en color blanco de manera homogénea y visible en toda su longitud?
18. ¿Todas las tuberías están identificadas con rotulación del contenido (nombre completo o abreviado), flechas que indiquen el sentido de flujo y señalización en buen estado que permita una interpretación clara durante inspecciones o emergencias?
</t>
  </si>
  <si>
    <t xml:space="preserve">
Capítulo I
Código de colores                                   Artículos 202 al 204                                                          De los colores de seguridad 
</t>
  </si>
  <si>
    <t xml:space="preserve">Código de colores </t>
  </si>
  <si>
    <t xml:space="preserve">
Título  X
Del manejo y transporte de materiales 
Capítulo I
Del manejo y transporte manual de materiales                                                                         Artículos 388 al 447</t>
  </si>
  <si>
    <t>Operaciones y procesos</t>
  </si>
  <si>
    <t xml:space="preserve">Operaciones </t>
  </si>
  <si>
    <t xml:space="preserve">
1. ¿Cada caldera instalada en la planta cuenta con un certificado del fabricante que incluya especificaciones técnicas, planos de diseño y dimensiones, y los resultados de las pruebas realizadas durante la fabricación e instalación?
2. ¿Se puede demostrar que la construcción y los accesorios de las calderas cumplen con las normas técnicas aplicables (ICONTEC u otra norma técnica vigente equivalente) mediante certificados, registros de materiales y ensayos?
3. ¿Las calderas que operan a más de 6 atmósferas están ubicadas fuera de salas o locales de tránsito habitual o, si se encuentran en sótanos, están adecuadamente aisladas con materiales que impidan la propagación del calor hacia zonas de trabajo?
4. ¿Cada caldera tiene una placa visible con fabricante, número de serie, año de fabricación, presión máxima de trabajo (Kg/cm²), temperatura máxima, capacidad de evaporación (Kg/h), superficie de transferencia (m²) y fecha de instalación?
5. ¿Las pruebas hidrostáticas realizadas a las calderas se documentan y se ejecutan a presiones que no exceden 1,5 veces la presión máxima permisible, y se registran las verificaciones de las válvulas de seguridad a la presión normal de trabajo?
6. ¿Se revisan e inspeccionan periódicamente la alimentación, limpieza y el funcionamiento de bombas, válvulas de seguridad, indicadores de nivel, manómetros y conductos susceptibles de obstrucción (tubos, cajas de humo, etc.)?
7. ¿Existe y está entrenado el personal en el procedimiento operativo para un evento de exceso de presión que incluya amortiguar el fuego, aumentar salida de vapor y descargar válvulas cuando el nivel de agua sea normal, y extinguir el fuego, cerrar llaves y desalojar el local si el nivel de agua es inferior al normal?
8. ¿Se dispone de procedimientos escritos y comprobables para la puesta fuera de servicio de la caldera que indiquen alimentar hasta un poco por encima del nivel normal, cubrir el fuego, aislar el tubo de nivel y verificar que las válvulas de seguridad no estén adheridas a su asiento?
9. ¿Se aplican prácticas de enfriamiento y reducción gradual de combustible cuando la caldera se paraliza por períodos largos, para evitar variaciones bruscas de temperatura y riesgos estructurales?
10. ¿Las calderas están correctamente clasificadas y registradas como generadores de vapor, distinguiendo baja presión, media/alta presión y calderas de agua caliente según las definiciones y límites normativos aplicables?
11. ¿Cada caldera de vapor posee al menos dos válvulas de seguridad, una de ellas tipo resorte con blindaje inaccesible, y se mantiene un tapón fusible y un manómetro operativo conforme a la norma?
12. ¿Las calderas cuentan con dos sistemas de alimentación de agua con capacidad suficiente para cubrir la demanda, incluyen válvula de retención en la tubería de alimentación, y la toma de alimentación está situada aproximadamente 100 mm por debajo de la línea mínima visible de agua?
13. ¿Toda caldera dispone de una válvula de purga correctamente instalada y registrada para operaciones de mantenimiento y control de calidad del agua?
14. ¿Se realiza un análisis cualitativo y cuantitativo del agua de alimentación antes de su uso y se aplican los tratamientos químicos o procesos de filtración/decantación necesarios para eliminar durezas o impurezas que produzcan incrustaciones o corrosión?
15. ¿El personal encargado de operar la caldera (fogonero/foguista) está debidamente calificado y existe evidencia documental de su formación, experiencia y de que realiza revisiones sistemáticas de alimentación, combustible, presión, manómetro, termómetro y accesorios?
16. ¿Las líneas de gas de alimentación a calderas a gas cuentan con válvula de cierre rápido, sistema de regulación de presión para control del flujo y válvula de seguridad con descarga libre a la atmósfera?
17. ¿Las instalaciones de generadores de vapor en sótanos o plantas cumplen las condiciones permitidas (presión y volumen especificados), están cercadas con mallas metálicas de dos metros y mantienen un espacio libre mínimo de un metro alrededor?
18. ¿Las salas de calderas y los espacios atravesados por conductos de vapor de media o alta presión disponen de salidas de emergencia en número proporcional a la ocupación y se mantienen libres de obstáculos?
19. ¿Las calderas de media o alta presión calentadas a gas no están instaladas en recintos completamente cerrados sin ventilación, o si están cerradas, cuentan con ventilación adecuada que evite acumulaciones peligrosas de gas?
20. ¿Las salas de calderas respetan las dimensiones mínimas operativas, manteniendo al menos 1 metro libre entre techo y accesorios superiores y 1,80 metros sobre el pasillo más elevado para permitir operación segura de dispositivos de seguridad?
21. ¿El techo de la sala de calderas es de material incombustible, ligero y diseñado para no presentar resistencia a ondas de explosión en caso de accidente?
22. ¿Existe un espacio libre mínimo de 1 metro alrededor de cada caldera para permitir inspección y mantenimiento seguros?
23. ¿Las instalaciones que usan combustible líquido disponen de medidas para evitar derrames en el piso de la sala de calderas y cuentan con extintores adecuados para el tipo de combustible y capacidad proporcional al área?
24. ¿Se asegura que las salas de calderas estén separadas completamente de locales adyacentes donde existan polvos explosivos o materiales inflamables, sin aberturas que permitan propagación de incendio?
25. ¿Los accesos a válvulas elevadas, reguladores y columnas de agua se realizan mediante pasillos y escaleras con barandas, construidos en materiales resistentes a la combustión y con superficies antideslizantes?
26. ¿Las bases y estructuras que soportan la caldera están calculadas para resistir el esfuerzo máximo transmitido por su propio peso más el peso del volumen total de agua, y los soportes estructurales están aislados de fuentes de calor que puedan debilitar su resistencia?
27. ¿La caldera está instalada con una separación mínima de 30 centímetros por debajo de la conexión de purga para facilitar mantenimiento y evitar daños por calor o acumulación de residuos?
28. ¿Las tuberías de alimentación, gas y purga que discurren por el piso están alojadas en canales cubiertos con materiales no combustibles y correctamente señalizadas?
29. ¿La turbidez del agua de alimentación se mantiene por debajo de 10 ppm o, en caso contrario, se aplica decantación o filtración previa a su ingreso a la caldera, y no se alimenta la caldera directamente desde la red de agua potable sin el tratamiento previo requerido?
30. ¿La tubería de alimentación tiene un diámetro nominal mínimo de 19 mm (3/4 pulg.) conforme a la normativa y al dimensionamiento del sistema?
31. ¿El aparato alimentador de agua genera una presión equivalente a 1,1 veces la presión máxima del generador de vapor más las pérdidas de carga por tuberías y accesorios en condiciones de demanda máxima?
32. ¿Las descargas de purgas, barros, condensados, purgas de nivel o escapes de vapor no se vierten directamente a la red de alcantarillado sino que se conducen a sistemas de desagüe adecuados?
33. ¿Existe un tanque de desagüe entre las calderas y la red de cañerías con capacidad suficiente para evitar vacíos o sobrepresiones en la red, y está instalado y accesible para inspección?
34. ¿Los tanques de desagüe cuentan con un tubo de ventilación sin válvulas, una capacidad mínima equivalente al volumen total descargado por todas las calderas en 8 horas y tapas o puertas de inspección ajustadas para evitar escapes de vapor?
35. ¿La introducción del agua de alimentación a la caldera evita descargar sobre superficies expuestas a gases de alta temperatura, radiación directa del fuego o juntas remachadas que puedan dañarse por el golpe térmico?
36. ¿Cuando existe riesgo de contaminación por grasas en el agua de alimentación se instalaron separadores o se eliminaron las causas de la contaminación para evitar incrustaciones y fallas de transferencia térmica?
37. ¿Los tubos de desagüe que quedan expuestos al calor directo del horno están protegidos con ladrillos u otro material refractario instalado de forma que permita su inspección y mantenimiento?
38. ¿Toda caldera de media o alta presión dispone al menos de una válvula de seguridad y, si su superficie calefactora supera 50 m², cuenta con dos o más válvulas de seguridad debidamente registradas e identificadas?
39. ¿Los sobrecalentadores que no formen parte integral de la caldera y estén separados por válvulas de paso son tratados como recipientes a presión independientes y disponen de sus propias válvulas de seguridad?
40. ¿Los sobrecalentadores, economizadores y demás partes a presión conectadas directamente a la caldera sin válvulas intermedias se consideran parte integrante de la caldera y se gestionan con los mismos controles de seguridad?
41. ¿No se emplean válvulas de seguridad cuyo punto de disparo esté controlado por pesos, palancas o combinaciones mecánicas que comprometan su fiabilidad?
42. ¿Cada válvula de seguridad está identificada de forma indeleble con nombre de fabricante, número de serie, modelo, tamaño del tubo de alimentación, diámetro del asiento y presión de disparo, así como la diferencia de presión de apertura y cierre?
43. ¿Las válvulas de seguridad están instaladas lo más cerca posible de la caldera, sin conexiones de vapor entre la caldera y las válvulas que puedan obstruir la descarga, y sin válvulas intermedias en la línea de descarga?
44. ¿Las válvulas de seguridad están diseñadas y mantenidas de forma que la falla de cualquier componente no obstruya la descarga completa y libre de vapor?
45. ¿Las válvulas de seguridad de calderas de media o alta presión se ajustan para operar sin vibraciones, están selladas o protegidas contra manipulaciones no autorizadas, disponen de medios para abrirlas en prueba y su descarga puede ser fácilmente oída por el encargado de la operación?
46. ¿Las descargas de las válvulas de seguridad están entubadas o dirigidas para llevar la descarga a distancia de pasillos, plataformas y zonas de trabajo, evitando exposición de personas?
47. ¿Cuando el consumo de vapor es intermitente y provoca pulsaciones que generan vibraciones en las placas de la caldera, se emplean amortiguadores en la tubería principal de vapor para mitigar estas pulsaciones?
48. ¿Los indicadores de nivel de agua en calderas de media o alta presión están ubicados de modo que cuando la marca más baja sea visible aún exista suficiente agua en la caldera para evitar accidentes por bajo nivel?
49. ¿Los grifos de nivel que se encuentran fuera del alcance normal del piso están provistos de varillas o cadenas permanentes para su accionamiento desde el piso y de medios que eviten descargas de agua o vapor sobre el operario que los manipula?
50. ¿Los tapones fusibles usados como alarma de bajo nivel se renuevan al menos una vez al año y los cascos usados no se rellenan para reutilizarlos?
51. ¿No se emplean tapones fusibles en calderas de media o alta presión que operen a presiones superiores a 17,5 kg/cm²?</t>
  </si>
  <si>
    <t xml:space="preserve"> Higiene orden y limpieza                                            Artículos. 29-37</t>
  </si>
  <si>
    <t xml:space="preserve">1. ¿El empleador garantiza que todos los sitios de trabajo, pasadizos, bodegas y servicios sanitarios se mantienen en adecuadas condiciones de higiene y limpieza, evitando en todo momento la acumulación de polvo, basuras y desperdicios, y asegurando su retiro oportuno?
2. ¿La empresa evita prácticas de limpieza que generen polvo (como barrido en seco) y ha implementado métodos controlados como limpieza húmeda o aspiración para pisos, paredes y techos susceptibles de producirlo?    ¿Los pisos de las áreas de trabajo se mantienen limpios y secos, y en los procesos donde esto no es posible la empresa ha instalado pisos con la inclinación adecuada, sistemas de drenaje eficientes u otros mecanismos que reduzcan la exposición a la humedad, garantizando además la provisión de botas especiales a los trabajadores expuestos?   4. ¿Los pisos y corredores se encuentran libres de sustancias o desperdicios que puedan causar daño (aceites, grasas, materiales resbaladizos), y las máquinas, equipos e instalaciones se mantienen en buen estado de limpieza para evitar riesgos de resbalones, caídas o contaminación?
5. ¿La limpieza de las áreas de trabajo se realiza preferiblemente fuera de la jornada laboral, evitando levantar o dispersar polvo durante la actividad, y se garantiza la evacuación frecuente de basuras y desperdicios para mantener los locales en condiciones sanitarias adecuadas?    6. ¿La empresa implementa medidas para evitar la acumulación de materiales susceptibles de descomposición, infección o peligrosidad, asegurando la eliminación adecuada de residuos de materias primas, residuos de procesos, aguas residuales, gases, vapores o polvos nocivos mediante sistemas o procedimientos apropiados?**
7. ¿Los sistemas mecánicos o químicos utilizados para recolectar materiales nocivos se inspeccionan periódicamente para verificar su eficiencia, se registran los resultados de dichas inspecciones y los elementos de aseo se almacenan en casilleros especiales ubicados cerca de los servicios sanitarios?
8. ¿La empresa cuenta con medidas efectivas de prevención y control para evitar la entrada, reproducción o presencia de insectos, roedores u otras plagas dentro de las áreas de trabajo, incluyendo acciones de saneamiento básico y control integrado de plagas?
9. ¿El empleador garantiza un número suficiente de sillas para los trabajadores e instala los puestos de trabajo de manera que, cuando la naturaleza de la labor lo permita, las tareas se realicen en posición sentada, asegurando que los asientos sean cómodos, ergonómicos y adecuados para prevenir fatiga y sobrecarga física?
</t>
  </si>
  <si>
    <t xml:space="preserve">Resolución 2400                                                                              </t>
  </si>
  <si>
    <t>Electricidad alterna continua y estática</t>
  </si>
  <si>
    <t xml:space="preserve">
1. ¿Las instalaciones, máquinas, equipos y sistemas eléctricos de Holcim están diseñados, construidos, aislados, protegidos y mantenidos de forma que se eliminen riesgos de contacto accidental con partes energizadas y peligros de incendio, garantizando además que los conductores posean aislamiento eficaz, distancias mínimas seguras y separación adecuada conforme a estándares internacionales?
2. ¿Antes de intervenir equipos o líneas eléctricas de alta tensión se verifica y documenta que fueron desconectados, bloqueados, rotulados y aislados para evitar energización accidental, aplicando procedimientos estrictos de LOTO y asegurando que ningún trabajador opere circuitos vivos sin capacitación formal, supervisión adecuada y justificación autorizada en casos de emergencia?
3. ¿Los circuitos eléctricos, incluidos los de alumbrado, están claramente señalizados, identificados y protegidos, garantizando además que las herramientas manuales eléctricas, lámparas portátiles y equipos similares funcionen con voltaje reducido y estén correctamente conectados a tierra?
4. ¿Las instalaciones eléctricas están libres de rozamientos, golpes o deterioro que puedan comprometer su aislamiento, se encuentran protegidas contra contactos accidentales y no presentan cables expuestos, deteriorados o extendidos en zonas de tránsito que puedan generar caídas, cortocircuitos o daños mecánicos?
5. ¿Los cuartos eléctricos, celdas, transformadores, generadores y tableros de distribución están ubicados en áreas seguras, restringidas al personal autorizado, con pisos aislantes, barreras protectoras y señalización, y se garantiza que se mantengan cerrados, en buen estado y sin elementos metálicos expuestos bajo tensión?
6. ¿Holcim garantiza que los operarios no realizan reparaciones o intervenciones en máquinas o equipos eléctricos en funcionamiento, excepto cuando una reparación de emergencia esté autorizada por el jefe responsable y se verifique que puede ejecutarse sin riesgo, asegurando además que ningún equipo se ponga en marcha sin confirmar que todas sus piezas están en su sitio y fijadas correctamente?
7. ¿Los compartimientos de interruptores, transformadores y equipos de protección permiten acceso seguro, circulación adecuada del personal técnico y cuentan con dispositivos de aislamiento como esteras dieléctricas, plataformas de madera, tapetes de caucho o superficies elevadas para evitar contactos peligrosos durante maniobras energizadas?
8. ¿Las actividades que involucran trabajo en circuitos vivos o potencialmente vivos se identifican como trabajos de alto riesgo y se gestionan con protocolos especializados que incluyen la identificación de líneas vivas, manipulación de capacitores, colocación de aisladores, empalme de líneas, instalación de pararrayos, trabajo durante tormentas y operaciones en transformadores con aceite caliente?
9. ¿Los trabajadores que intervienen circuitos vivos utilizan el EPP dieléctrico adecuado según el voltaje, como guantes y guanteletes de caucho hasta 5.000 voltios, varas de línea caliente entre 5.000 y 15.000 voltios, herramientas especializadas para más de 15.000 voltios y protecciones aislantes en los alambres y equipos cercanos a la zona de trabajo?
10. ¿Las máquinas, aparatos, motores, tableros y equipos eléctricos ofrecen condiciones máximas de seguridad, incluyen protecciones aislantes, plataformas, guantes y calzado dieléctrico, y están completamente conectados a tierra con líneas de capacidad suficiente para evacuar posibles fallas o descargas?
11. ¿Holcim garantiza que todas las estructuras metálicas de motores, cajas de interruptores, transformadores, bandejas y canalizaciones metálicas estén conectadas permanentemente a tierra, sin interruptores intermedios y con resistencia inferior o igual a 10 ohmios?
12. ¿Se cumple la prohibición de usar energía eléctrica para electrificar barreras, cercas, mallas o sistemas destinados a restringir accesos, eliminando riesgo de electrocución en personal o fauna presente en las operaciones mineras, cementeras y de construcción?
13. ¿Se mantiene la distancia mínima de seguridad exigida entre trabajadores, equipos y cables eléctricos aéreos de alto voltaje, asegurando que ninguna labor se ejecute a menos de seis pies de estas líneas energizadas?
14. ¿Las escaleras, equipos de ascenso y elementos utilizados en trabajos eléctricos cumplen requisitos de resistencia, estabilidad, ganchos de sujeción y dispositivos antideslizantes que garanticen la seguridad durante su uso?
15. ¿En trabajos en postes o estructuras eléctricas los linieros utilizan mantas, cobertores y protectores de líneas para evitar contacto con partes vivas o susceptibles de energizarse accidentalmente?
16. ¿Las lámparas portátiles utilizadas en zonas de mantenimiento o espacios confinados ofrecen aislamiento completo, protección de bombillos, cables robustos y operan con tensiones no superiores a 27 voltios?
17. ¿En áreas con múltiples tensiones o sistemas eléctricos complejos se emplean códigos de colores estandarizados que faciliten la identificación de voltajes y tipos de corriente para evitar contactos erróneos?
18. ¿Los motores eléctricos que pueden generar chispas están instalados en cuartos aislados lejos de gases, vapores inflamables o partículas combustibles presentes en procesos de producción de cemento, trituración o almacenamiento de materias primas?
19. ¿Las baterías de acumuladores de gran capacidad se ubican en cuartos ventilados, con pisos resistentes a ácidos y protecciones adecuadas, evitando acumulación de gases y riesgos de corrosión o explosión?
20. ¿La iluminación interior de arcones, tolvas, elevadores o equipos que manejan polvos inflamables se realiza mediante lámparas herméticas al polvo, protegidas contra daños mecánicos y con interruptores externos también herméticos?
21. ¿El personal que realiza trabajos en líneas eléctricas utiliza cinturones de seguridad, espuelas, guantes dieléctricos, cascos aislados, botas sin herrajes, alfombras aislantes y ropa sin elementos metálicos, cumpliendo estándares para trabajos en altura y trabajos eléctricos simultáneamente?
22. ¿Todos los trabajadores vinculados a actividades con riesgo eléctrico están entrenados en primeros auxilios, manejo de shock eléctrico y técnicas de resucitación, asegurando una respuesta inmediata ante incidentes?
23. ¿Las operaciones que generan cargas electrostáticas —como manipulación de polvos, correas transportadoras, fibras, materiales plásticos, combustibles o solventes— cuentan con sistemas de conexión a tierra, control de humedad y dispositivos de neutralización para evitar incendios o explosiones?
24. ¿Los sistemas de almacenamiento de polvos metálicos y no metálicos como aluminio, carbón, azufre, grafito o harinas cuentan con controles de electricidad estática, equipos de medición de carga y medidas adicionales cuando se utilizan dispositivos radioactivos para el control de descargas electrostáticas?
25. ¿En actividades donde se manipulan fluidos volátiles, polvos finos, disolventes inflamables o detonadores, se implementan conexiones a tierra entre tanques y vehículos, conexiones eléctricas continuas en tuberías neumáticas y detectores especializados para identificar acumulación de cargas electrostáticas?
26. ¿Durante la limpieza de tanques o recipientes que previamente contuvieron solventes inflamables se evita la acumulación de electricidad estática mediante el uso de chorros de vapor conectados a tierra y control del flujo de vapor para minimizar el riesgo de ignición?
</t>
  </si>
  <si>
    <t xml:space="preserve">Capacitación y responsabilidad del empleador </t>
  </si>
  <si>
    <t>Capítulo III de los andamios y escaleras Artículos 628 al 663</t>
  </si>
  <si>
    <t xml:space="preserve">
1. ¿Los andamios de madera utilizados en la empresa están construidos exclusivamente con materiales resistentes, madera seca y sin defectos, y cuentan con escaleras permanentes o portátiles cuyo acceso no excede los 3,50 metros de altura?
2. ¿Las barandas de los andamios poseen una altura de 90 cm, están sostenidas por montantes separados máximo 1,50 m, fijados firmemente al piso, y el conjunto del sistema (piso, barandas, plintos) se encuentra rígido antes de la suspensión o movilización?
3. ¿El espacio del piso y la altura útil del andamio permiten el movimiento seguro del trabajador sin riesgo de atrapamientos, golpes o caídas, y se encuentran libres de materiales innecesarios?
4. ¿Los andamios instalados a cinco metros o más disponen de protecciones en parte superior y laterales para prevenir caídas de objetos y evitar la caída del trabajador, incluyendo barandas, rodapiés y redes si aplica?
5. ¿La empresa realiza selección formal del personal autorizado para trabajar en andamios, verificando competencia, capacitación, certificación en trabajo seguro en alturas y aptitud médica?
6. ¿Los postes, columnas o parales de los andamios están correctamente fijados al suelo, sin posibilidad de deslizamiento o movimiento del pie, aun bajo carga o vibración?
7. **Para andamios con una sola hilera de soportes:** ¿los parales están sólidamente anclados al muro con una profundidad mínima de 10 cm o, si no es posible, se encuentran firmemente amarrados a la estructura principal?
8. ¿Los tirantes oblicuos longitudinales están colocados a 45° en ambos sentidos formando doble "W", y los tirantes transversales se instalan a distancias regulares entre los soportes laterales garantizando rigidez estructural?
9. **Cuando los andamios descansan sobre caballetes:** ¿estos son sólidos, están en buen estado y no se encuentran suspendidos unos sobre otros?
10. ¿Los andamios colgantes están construidos con tablones fuertes capaces de soportar tres veces la carga prevista, cuentan con barandas rígidas, cables y estribos adecuados, poleas en buen estado y anclajes sólidos que eviten el balanceo?
11. ¿Los trabajadores revisan el estado del andamio antes de usarlo, utilizan cinturón de seguridad o líneas de vida cuando es requerido, y reportan inmediatamente cualquier anomalía detectada?
12. ¿Las escaleras de mano empleadas están construidas con materiales de buena calidad y resistencia, sin defectos visibles, y la madera no se encuentra pintada ni tratada de manera que pueda ocultar deterioros?
13. ¿Las escaleras usadas como medio de acceso sobresalen al menos un metro por encima del punto superior de apoyo, o cuentan con un montante que funcione como pasamanos?
14. ¿Las escaleras se apoyan únicamente sobre superficies firmes, planas y estables, evitando ladrillos, piedras sueltas u otros soportes inestables?
15. ¿Las escaleras se encuentran firmemente aseguradas para evitar desplazamientos, están fijadas en la parte superior o en la base según la condición del sitio, o cuentan con un trabajador asignado a estabilizarlas cuando no es posible fijarlas?
16. **Cuando comunican pisos distintos:** ¿las escaleras sobresalen del nivel superior y cada piso cuenta con un rellano de protección que reduce al mínimo el riesgo de caída?
17. ¿Se evita completamente el uso de escaleras con peldaños faltantes, dañados o fijados únicamente con clavos, grapas u otros medios no permitidos?
18. ¿Las escaleras de madera están construidas con montantes resistentes y peldaños embutidos, en perfecto estado, sin defectos visibles ni deformaciones?
19. ¿Las escaleras reciben inspecciones periódicas por personal competente y se conservan en óptimas condiciones de uso?
20. ¿Las escaleras portátiles defectuosas (peldaños faltantes, flojos o en mal estado) se retiran inmediatamente del servicio y se reparan o destruyen según corresponda?
21. ¿Las escaleras portátiles están equipadas con bases antirresbaladizas cuando esto reduce el riesgo de deslizamiento?
22. ¿Las escaleras portátiles se usan con la inclinación reglamentaria, manteniendo la distancia horizontal equivalente a un cuarto de su longitud, y se evita que varias personas se suban simultáneamente?
23. ¿Las escaleras portátiles no se ubican frente a puertas que abren hacia ellas, salvo cuando se aseguran, bloquean o restringen adecuadamente, y no se empalman unas con otras?
24. ¿Las escaleras se almacenan en lugares ventilados, protegidas de intemperie, calor o humedad excesiva, apoyadas correctamente para evitar pandeo o deformación permanente?
25. ¿Se ha restringido el uso de escaleras a personas con tendencia al vértigo o condiciones que comprometan la seguridad?
26. ¿El uso de escaleras garantiza que los montantes no se separen, no haya balanceo, los escalones sean rígidos y empotrados, el apoyo esté separado adecuadamente del muro y no se suban cargas superiores a 40 kg?
27. ¿Los andamios cuentan con dos niveles de barandas (90 cm y 1 metro) y con tope de pie o rodapié para evitar caída de materiales?
28. ¿Los parales de madera de los andamios son sanos, rectos y se alargan únicamente mediante sistemas permitidos: tope reforzado, cruzamiento lateral con tacones y alambre, cruzamiento con pernos o con abrazaderas metálicas?
29. ¿Cuando no es posible enterrar parales, se utiliza adecuadamente sistema de pie de cabra, barriles o cajones con arena para asegurar estabilidad?
30. ¿Los puentes de andamio están construidos como cruceta o mechinal, con materiales resistentes y libres de nudos o fallas estructurales?
31. ¿Los tablones son inspeccionados antes de su uso para verificar nudos o fallas, y los caballetes se encuentran rígidos y con barandas?
32. ¿Las rampas o planos inclinados son rígidos, no tienen movimientos laterales, sus parales están separados a 1,50 m, cuentan con doble baranda interna (90 cm y 1 m) y su inclinación no supera el 12%?
33. ¿Pasillos, áreas de trabajo, corredores y zonas de tránsito permanecen libres de materiales con clavos, tablones sueltos u objetos que generen riesgo de tropiezos o lesiones?
34. ¿Los andamios no metálicos están soportados por vigas adecuadas, con pies derechos separados máximo 1,50 m y travesaños a 1,20 m, pisos firmes, uniones niveladas y barandas con altura mínima de un metro más una hilera intermedia?
35. ¿El uso de malacates se restringe totalmente para transporte de personas y se asegura que las jaulas cumplan requisitos: frenos de suspensión, cubierta metálica, ausencia de salientes, separación menor a 10 cm del piso y cables en buen estado?
36. ¿Los trabajadores que montan, reparan o pintan postes o columnas metálicas utilizan cinturones de seguridad correctamente anclados?
37. ¿Los andamios colgantes cuentan con canastas de protección para evitar caída del trabajador al vacío o a la vía pública?
38. **En superficies húmedas o grasosas:** ¿se aplican escorias, arena o ceniza para evitar resbalamientos en talleres, rampas, andamios y pasarelas?
39. ¿Las pasarelas utilizadas por carretillas tienen listones transversales instalados para evitar caídas?
40. ¿Se evita construir muros simultáneamente en el mismo paramento a distintos niveles, reduciendo riesgo de colapso y caída de materiales?
41. ¿Existe personal experto designado para prestar primeros auxilios, con botiquín completo y accesible?</t>
  </si>
  <si>
    <t xml:space="preserve">1.  ¿La obra que emplea 50 o más trabajadores dispone de un campamento provisional habilitado, claramente delimitado y en funcionamiento, destinado a prestar servicios sanitarios, espacios de cambio de ropa y un área adecuada para el consumo de alimentos?
2. ¿Los servicios sanitarios del campamento provisional cumplen con las condiciones de cantidad, diseño, ventilación, iluminación, privacidad, suministro permanente de agua y limpieza exigidas por las normas sanitarias vigentes, garantizando higiene, non-congestión y accesibilidad?
3. ¿Los servicios sanitarios se encuentran ubicados en un sitio adecuado, con rutas seguras de acceso, están aseados, libres de focos de contaminación y cuentan con un plan de limpieza frecuente registrado y aplicado?
4 ¿El campamento dispone de un área específica y diferenciada para cambio de ropa, con condiciones mínimas de privacidad, ventilación y superficies limpias, garantizando que los trabajadores puedan cambiarse sin riesgo de exposición a sustancias, polvo o agentes contaminantes?
 5. ¿El área de cambio de ropa cuenta con lockers o mobiliario adecuado para guardar ropa personal y de trabajo, evitando contaminación cruzada y manteniendo orden y asepsia?
6.¿El espacio destinado para tomar los alimentos está correctamente ubicado, separado de zonas de riesgo (polvo, sustancias químicas, ruidos, tránsito vehicular), ventilado y aseado permanentemente?
7.   ¿El área de alimentación cuenta con mobiliario suficiente y adecuado (sillas, mesas, superficie limpia), protecciones contra condiciones ambientales, recipientes para residuos y un programa de mantenimiento y desinfección que garantice higiene continua?
</t>
  </si>
  <si>
    <t xml:space="preserve">Artículo 13. De los campametos provisionales </t>
  </si>
  <si>
    <r>
      <t xml:space="preserve">1. ¿La empresa ha registrado en la matriz legal las obligaciones derivadas de Decisión 584 de 2004 (Art. 11i,11h) :   </t>
    </r>
    <r>
      <rPr>
        <i/>
        <sz val="11"/>
        <color theme="1"/>
        <rFont val="Calibri"/>
        <family val="2"/>
        <scheme val="minor"/>
      </rPr>
      <t>Informar a los trabajadores por escrito y por cualquier otro medio sobre los riesgos laborales a los que están expuestos y capacitarlos a fin de prevenirlos, minimizarlos y eliminarlos. Los horarios y el lugar en donde se llevará a cabo la referida capacitación se establecerán previo acuerdo de las partes interesadas;  Establecer los mecanismos necesarios para garantizar que sólo aquellos trabajadores que hayan recibido la capacitación adecuada, puedan acceder a las áreas de alto riesgo</t>
    </r>
    <r>
      <rPr>
        <sz val="11"/>
        <color theme="1"/>
        <rFont val="Calibri"/>
        <family val="2"/>
        <scheme val="minor"/>
      </rPr>
      <t>; y ha definido su aplicabilidad?
2. ¿Los procedimientos y controles del SG-SST contemplan lo establecido en Decisión 584 de 2004 (Art. 11i,11h) para las actividades y procesos de la organización?
3. ¿Existe evidencia documental (registros, informes, actas, comunicaciones) que demuestre la aplicación de Decisión 584 de 2004 (Art. 11i,11h)?
4. ¿Se ha socializado el contenido de Decisión 584 de 2004 (Art. 11i,11h) con los responsables de cada proceso y con los trabajadores cuando es pertinente?
5. ¿Se revisa periódicamente el cumplimiento de Decisión 584 de 2004 (Art. 11i,11h) y se generan planes de acción cuando se identifican desviaciones?
6. ¿La matriz legal se mantiene actualizada frente a modificaciones, derogatorias o nuevas disposiciones relacionadas con Decisión 584 de 2004 (Art. 11i,11h)?</t>
    </r>
  </si>
  <si>
    <t xml:space="preserve">Gestión de la seguridad y salud en los Centros de trabajo .  Artículo 11 h-i </t>
  </si>
  <si>
    <t xml:space="preserve">1.  La empresa ha practicado los exámenes médicos ocupacionales de ingreso, periódicos y de retiro, a cargo y por cuenta del empleador, conforme al artículo 348 del Código Sustantivo del Trabajo, el literal b) del artículo 30 del Decreto 614 de 1984 y el numeral 1 del artículo 10 de la Resolución 1016 de 1989.
2. Se ha suministrado a los trabajadores elementos de protección personal cuya fabricación, resistencia y duración cumplen las normas de calidad exigidas para garantizar la seguridad personal en los puestos o centros de trabajo que lo requieran, según lo establecido en la circular unificada de 2004.
3.  Se han entregado implementos de protección tales como cascos, botas, guantes y demás elementos necesarios para proteger al trabajador, permitiéndole desarrollar eficientemente sus labores y garantizando su seguridad personal.
4. El diseño de sistemas técnicos y de gestión para el control efectivo de los riesgos incluye actividades propias de los sistemas de vigilancia epidemiológica aplicados por el empleador, tales como el diseño y realización de exámenes médicos ocupacionales, mediciones ambientales y el diseño adecuado de espacios de trabajo, maquinarias, herramientas y equipos.
5. Los controles derivados del diseño técnico y de gestión mencionado anteriormente han logrado intervenir y reducir el riesgo en la fuente o en el medio ambiente donde se propaga, mediante la adecuada relación entre tecnología, procesos y trabajadores.
6. El diseño de modelos de administración o gestión que modifican procesos de trabajo o contenidos de la tarea ha permitido intervenir y disminuir riesgos, incluyendo aquellos que generan factores de riesgo psicosocial.
</t>
  </si>
  <si>
    <t xml:space="preserve">
1. Aplicación: La empresa ha definido   la competencia técnica del personal que se encargará de la salud en el trabajo, basándose en la normatividad y las funciones específicas del cargo?
2. Los exámenes de salud relacionados con el trabajo deben ser gratuitos para el trabajador y, en la medida de lo posible, realizarse en horario laboral para evitar la pérdida de ingresos y facilitar el acceso?                                                                                                                         3.  Se ha  informado de manera obligatoria a todos los trabajadores sobre los riesgos de salud que presenta su trabajo. Esto implica una comunicación clara y continua sobre los peligros y las medidas preventivas?                                                                                                                                            4.  La empresa cuenta con evidencia de la comunicación sobre el hecho de que el empleador como los trabajadores tienen la responsabilidad de informar a los servicios de salud ocupacional sobre cualquier factor (conocido o sospechoso) del ambiente de trabajo que pueda afectar la salud de los empleados? </t>
  </si>
  <si>
    <t xml:space="preserve">dec 1543 VIH </t>
  </si>
  <si>
    <t xml:space="preserve">Inclusión laboral </t>
  </si>
  <si>
    <t>Artículo. 24 y 26</t>
  </si>
  <si>
    <t xml:space="preserve">1.  ¿La empresa cuenta con al menos el 10% de sus trabajadores vinculados con discapacidad certificada por la oficina de trabajo de la zona y contratados con una antigüedad mínima de 1 año previo al proceso de licitación, adjudicación o contratación, de manera que pueda acceder a la preferencia prevista en la ley?
2.¿La empresa mantiene el porcentaje mínimo del 10% de trabajadores con discapacidad durante todo el tiempo que duren los contratos o adjudicaciones obtenidas bajo este beneficio, garantizando la continuidad del derecho?
3. La empresa ha tenido en cuenta que la discapacidad no podrá ser motivo para obstaculizar una vinculación laboral, a menos que dicha limitación sea claramente demostrada como incompatible e insuperable en el cargo que se va a desempeñar. Así mismo, ninguna persona limitada podrá ser despedida o su contrato terminado por razón de su limitación, salvo que medie autorización de la oficina de Trabajo?
4. La empresa tiene claro que si el trabajador  fuere despedido o su contrato terminado por razón de su limitación, sin el cumplimiento del requisito previsto en el inciso anterior ( punto 3/ artículo 26) , tendrán derecho a una indemnización equivalente a ciento ochenta días del salario, sin perjuicio de las demás prestaciones e indemnizaciones a que hubiere lugar de acuerdo con el Código Sustantivo del Trabajo y demás normas que lo modifiquen, adicionen, complementen o aclaren?  </t>
  </si>
  <si>
    <t xml:space="preserve">circular 24 - 24 trabajo en casa por situac orden publico </t>
  </si>
  <si>
    <t xml:space="preserve">circular 19 mpox - viruela simica </t>
  </si>
  <si>
    <t xml:space="preserve">art 148 sobre radiaciones física ya está incluido </t>
  </si>
  <si>
    <t xml:space="preserve">Artículos 1- 5  </t>
  </si>
  <si>
    <t xml:space="preserve">
1. ¿El contrato de aprendizaje utilizado por la empresa mantiene su naturaleza no laboral, sin subordinación y con una duración igual o inferior a dos años, según lo establecido en la normativa?
2. ¿La empresa garantiza que el aprendiz recibe formación teórica en una entidad de formación autorizada y suministra los medios necesarios para un proceso formativo metódico, completo y acorde con el oficio u ocupación definida?
3. ¿Se verifica que el aprendiz realiza exclusivamente actividades propias del proceso de aprendizaje, sin asignación de labores ajenas al programa formativo o al perfil educativo establecido?
4. ¿El apoyo de sostenimiento mensual otorgado al aprendiz cumple con lo exigido por la ley, se reconoce como un auxilio no salarial y se paga de manera correcta según la fase lectiva o práctica?
5. ¿Todos los contratos de aprendizaje están formalizados por escrito y archivados adecuadamente, cumpliendo con los requisitos documentales mínimos exigidos por la normativa?
6. ¿El contrato incluye la razón social, NIT y datos del representante legal del patrocinador, así como la razón social, NIT y datos del representante legal de la entidad de formación?
7. ¿El documento contractual registra completa y correctamente la identificación del aprendiz, incluyendo nombre, fecha de nacimiento, tipo y número de documento?
8. ¿El contrato especifica los estudios o tipo de capacitación académica del aprendiz y describe claramente el oficio, actividad u ocupación objeto del aprendizaje, el programa y la duración total?
9. ¿El contrato establece de manera diferenciada las duraciones de la fase lectiva y de la fase práctica, e incluye las fechas previstas de inicio y terminación de cada una de ellas?
10. ¿El contrato señala explícitamente el monto del apoyo de sostenimiento mensual en moneda colombiana y documenta la obligación del patrocinador de afiliar al aprendiz a riesgos laborales en la fase práctica y a salud en las fases lectiva y práctica?
11. ¿El contrato describe los derechos y obligaciones del patrocinador y del aprendiz, define claramente las causales de terminación de la relación de aprendizaje, contiene la fecha de suscripción y está firmado por ambas partes?
12. ¿La empresa verifica que todo aprendiz vinculado tenga como mínimo 14 años cumplidos y haya terminado estudios primarios o demuestre saber leer y escribir, sin imponer límites de edad adicionales no permitidos por la ley?
13. ¿El apoyo de sostenimiento se calcula y paga de manera proporcional cuando las fases lectiva y práctica se desarrollan simultáneamente, dejando evidencia del cálculo y del pago oportuno al aprendiz?
14. ¿La empresa garantiza la afiliación del aprendiz al Sistema de Seguridad Social Integral según las obligaciones legales del patrocinador en cada fase del proceso formativo?</t>
  </si>
  <si>
    <t xml:space="preserve">Artículo 2. Actividades de alto riesgo para la salud del trabajador </t>
  </si>
  <si>
    <t xml:space="preserve">1. ¿El SG-SST incorpora los requisitos establecidos en Decreto Ley 2090 de 2003 Por el cual se definen las actividades de alto riesgo para la salud del trabajador y se modifican y señalan las condiciones, requisitos y beneficios del régimen de pensiones de los trabajadores que laboran en dichas actividades dentro de sus procedimientos, estándares y controles operativos?
2. ¿Se cuenta con documentación actualizada (procedimientos, instructivos, protocolos) que evidencie la implementación de lo definido en Decreto Ley 2090 de 2003 Por el cual se definen las actividades de alto riesgo para la salud del trabajador y se modifican y señalan las condiciones, requisitos y beneficios del régimen de pensiones de los trabajadores que laboran en dichas actividades?
3. ¿Se verifica de manera periódica el cumplimiento de Decreto Ley 2090 de 2003 Por el cual se definen las actividades de alto riesgo para la salud del trabajador y se modifican y señalan las condiciones, requisitos y beneficios del régimen de pensiones de los trabajadores que laboran en dichas actividades en auditorías internas, inspecciones o revisiones de la matriz legal?
4. ¿Los responsables de cada proceso conocen las obligaciones derivadas de Decreto Ley 2090 de 2003 Por el cual se definen las actividades de alto riesgo para la salud del trabajador y se modifican y señalan las condiciones, requisitos y beneficios del régimen de pensiones de los trabajadores que laboran en dichas actividades que les aplican y cuentan con los recursos para cumplirlas?
5. ¿Se conservan registros (informes, actas, listas de verificación, reportes) que demuestren la aplicación práctica de Decreto Ley 2090 de 2003 Por el cual se definen las actividades de alto riesgo para la salud del trabajador y se modifican y señalan las condiciones, requisitos y beneficios del régimen de pensiones de los trabajadores que laboran en dichas actividades en la empresa?
6.¿La empresa identifica y documenta si dentro de sus procesos existen trabajos en minería  y verifica que dichos trabajadores estén clasificados correctamente como expuestos a actividades de alto riesgo?
7.¿Se determina y registra si existen puestos que impliquen exposición a altas temperaturas y se confirma que los niveles térmicos superan los límites permisibles establecidos en las normas técnicas vigentes de salud ocupacional?
8.¿Se verifica si algún trabajador está expuesto a radiaciones ionizantes y si la empresa ha clasificado estas labores como actividades de alto riesgo, garantizando controles estrictos, protección radiológica y registros actualizados?
9.¿La empresa identifica si en sus procesos existe exposición comprobada a sustancias cancerígenas y, en esos casos, clasifica estas labores como actividades de alto riesgo, implementando medidas estrictas de control, vigilancia epidemiológica y protección individual y colectiva?
</t>
  </si>
  <si>
    <t xml:space="preserve">Artículo 4. Condiciones para el derecho a la pensión especial de vejez </t>
  </si>
  <si>
    <t>1. ¿El SG-SST incorpora los requisitos establecidos en Decreto Ley 2090 de 2003 Por el cual se definen las actividades de alto riesgo para la salud del trabajador y se modifican y señalan las condiciones, requisitos y beneficios del régimen de pensiones de los trabajadores que laboran en dichas actividades dentro de sus procedimientos, estándares y controles operativos?
2. ¿Se cuenta con documentación actualizada (procedimientos, instructivos, protocolos) que evidencie la implementación de lo definido en Decreto Ley 2090 de 2003 Por el cual se definen las actividades de alto riesgo para la salud del trabajador y se modifican y señalan las condiciones, requisitos y beneficios del régimen de pensiones de los trabajadores que laboran en dichas actividades?
3.La empresa ha tenido en cuenta las condiciones y requisitos para tener derecho a la pensión especial de vejez, la cual reune los siguientes requisitos ? 
1. Haber cumplido 55 años de edad.
2. Haber cotizado el número mínimo de semanas establecido para el Sistema General de Seguridad Social en Pensiones, al que se refiere el artículo 36 de la Ley 100 de 1993, modificado por el artículo 9º de la Ley 797de 2003.</t>
  </si>
  <si>
    <t xml:space="preserve">decreto 2090 pension trabajos alto riesgo estaba 3 veces se deja en 2  filas </t>
  </si>
  <si>
    <t>ley 320 - 96 gente del mar</t>
  </si>
  <si>
    <t>Decreto 4741</t>
  </si>
  <si>
    <t xml:space="preserve">Capítulo II política de prevención de riesgos laborales                                          
Capítulo III gestión de la seguridad y salud en los centros de trabajo – obligaciones de los empleadores 
Capítulo IV de los derechos y obligaciones de los trabajadores 
Capítulo v de los trabajadores objeto de protección especial capítulo </t>
  </si>
  <si>
    <t xml:space="preserve">
1. ¿La empresa garantiza el derecho de los trabajadores a condiciones y ambientes de trabajo seguros y saludables, asegurando que sus procesos, instalaciones y métodos de trabajo cumplan con los principios de prevención exigidos en la Decisión 584?
2. ¿La organización implementa una política de Seguridad y Salud en el Trabajo que esté formalizada, comunicada, revisada periódicamente y orientada a la mejora continua, de conformidad con los lineamientos del Sistema de Gestión de Seguridad y Salud en el Trabajo establecidos en la Decisión 584?
3. ¿La empresa identifica peligros, evalúa riesgos y establece controles suficientes y documentados para eliminar, reducir o gestionar los riesgos laborales, siguiendo el enfoque preventivo y de gestión establecido por la normativa andina?
4. ¿Se garantiza la participación activa de los trabajadores en la identificación de peligros, en la formulación de controles y en el funcionamiento del sistema de seguridad y salud, de acuerdo con las obligaciones de consulta y participación definidas por la Decisión 584?
5. ¿La organización conforma, capacita y mantiene un Comité paritario o mecanismos equivalentes de participación, asegurando que este actúe como instancia formal de consulta, vigilancia y mejora continua del sistema de seguridad y salud?
6. ¿La empresa proporciona información adecuada, oportuna y comprensible sobre los riesgos laborales a los que están expuestos los trabajadores, incluyendo medidas de prevención, respuesta ante emergencias y manejo de incidentes?
7. ¿La empresa garantiza capacitación inicial, periódica y específica a todo el personal expuesto a riesgos, asegurando que la formación esté alineada con la naturaleza de las tareas y con los requerimientos del sistema de gestión en seguridad y salud?
8. ¿Se implementa un programa de gestión médica y de vigilancia de la salud que incluya exámenes ocupacionales, monitoreo de efectos de exposición y seguimiento de casos, conforme a las obligaciones del empleador en salud ocupacional de la Decisión 584?
9. ¿La empresa mantiene registros actualizados de accidentes, incidentes, enfermedades laborales, actos y condiciones inseguras, y utiliza esta información para tomar decisiones basadas en análisis preventivo?
10. ¿La organización cuenta con procedimientos formales para la investigación de accidentes, incidentes y enfermedades laborales, y verifica que las causas raíz se identifiquen y que las medidas correctivas y preventivas sean implementadas eficazmente?
11. ¿La empresa evalúa periódicamente la eficacia del sistema de gestión de seguridad y salud mediante auditorías internas, revisiones por la dirección y medición continua del desempeño, cumpliendo con los requisitos de mejora permanente de la Decisión 584?
12. ¿La organización adopta medidas de control eficaces para proteger a los trabajadores frente a condiciones peligrosas identificadas, incluyendo controles en la fuente, en el ambiente y sobre el trabajador, en coherencia con la jerarquía de control exigida por la normativa andina?
13. ¿La empresa garantiza la provisión, uso y mantenimiento adecuado de los equipos de protección personal, asegurando que sean apropiados al riesgo, certificados y entregados sin costo para el trabajador?
14. ¿Se cuenta con un plan de emergencias actualizado, entrenado y con recursos suficientes, que permita responder a eventos críticos internos o externos, de acuerdo con los lineamientos de la gestión de emergencias establecidos en esta normativa?
15. ¿La empresa implementa mecanismos de control sobre contratistas, subcontratistas y trabajadores de terceros, verificando que cumplan con los mismos estándares de seguridad y salud requeridos para su propio personal?
16. ¿La organización garantiza que los trabajadores puedan ejercer su derecho a retirarse de una situación de peligro grave e inminente sin sufrir represalias, y cuenta con procedimientos para identificar y gestionar dichas situaciones?
17. ¿Se verifica que la empresa respeta las obligaciones económicas y prestacionales asociadas a la salud y seguridad en el trabajo, incluyendo coberturas en riesgos laborales, según el marco de protección definido por la Decisión 584?
18. ¿La empresa controla que las nuevas instalaciones, equipos, tecnologías y cambios operativos sean evaluados previamente en materia de seguridad y salud antes de su implementación, garantizando una gestión del riesgo basada en la prevención?
19. ¿Se garantiza que las actividades de vigilancia ambiental (ruido, sustancias químicas, iluminación, vibración, temperaturas, radiaciones, etc.) se realizan con la periodicidad necesaria y que los resultados se utilizan como insumo para la mejora del sistema de gestión?
20. ¿La empresa adopta medidas específicas para proteger a grupos de trabajadores especialmente vulnerables (jóvenes, personas con discapacidad, gestantes, adultos mayores), conforme a los principios de protección establecidos en la Decisión 584?
</t>
  </si>
  <si>
    <t>1. ¿La empresa ha identificado los requisitos específicos de Resolución 2844 de 2007 (Gatiso para asma ocupacional, cáncer pulmonar, neumoconiosis). Decreto 1477 del 2014 tabla de Enfermedades Laborales. Resolución 07/11 controles al cristalito en el movimientos de tierra, Decerto 1072/15 art. 2.2.4.6.15, 23 y 24 que aplican a su actividad económica y tamaño?
2. ¿Se dispone de procedimientos, instructivos o formatos que permitan cumplir con las exigencias técnicas y administrativas de Resolución 2844 de 2007 (Gatiso para asma ocupacional, cáncer pulmonar, neumoconiosis). Decreto 1477 del 2014 tabla de Enfermedades Laborales. Resolución 07/11 controles al cristalito en el movimientos de tierra, Decerto 1072/15 art. 2.2.4.6.15, 23 y 24?
3. ¿Existen registros (informes, actas, listados, certificados, reportes en plataformas) que evidencien el cumplimiento de Resolución 2844 de 2007 (Gatiso para asma ocupacional, cáncer pulmonar, neumoconiosis). Decreto 1477 del 2014 tabla de Enfermedades Laborales. Resolución 07/11 controles al cristalito en el movimientos de tierra, Decreto 1072/15 art. 2.2.4.6.15, 23 y 24?
4. ¿Los responsables del SG-SST realizan seguimiento periódico a los ítems de Resolución 2844 de 2007 (Gatiso para asma ocupacional, cáncer pulmonar, neumoconiosis). Decreto 1477 del 2014 tabla de Enfermedades Laborales. Resolución 07/11 controles al cristalito en el movimientos de tierra, Decerto 1072/15 art. 2.2.4.6.15, 23 y 24 incluidos en la matriz legal y documentan los resultados?
5. ¿Se han comunicado los requisitos de Resolución 2844 de 2007 (Gatiso para asma ocupacional, cáncer pulmonar, neumoconiosis). Decreto 1477 del 2014 tabla de Enfermedades Laborales. Resolución 07/11 controles al cristalito en el movimientos de tierra, Decerto 1072/15 art. 2.2.4.6.15, 23 y 24 a los trabajadores, contratistas y proveedores que se ven impactados por esta norma?
6. ¿Las no conformidades asociadas al cumplimiento de Resolución 2844 de 2007 (Gatiso para asma ocupacional, cáncer pulmonar, neumoconiosis). Decreto 1477 del 2014 tabla de Enfermedades Laborales. Resolución 07/11 controles al cristalito en el movimientos de tierra, Decerto 1072/15 art. 2.2.4.6.15, 23 y 24 generan acciones correctivas o de mejora con responsables y fechas definidas?</t>
  </si>
  <si>
    <t xml:space="preserve">Artículos 5- 20 </t>
  </si>
  <si>
    <t xml:space="preserve">El objeto de la presente resolución es establecer disposiciones y definir las responsabilidades de los diferentes actores sociales en cuanto a la identificación, evaluación, prevención, intervención y monitoreo permanente de la exposición a los factores de riesgo psicosocial en el trabajo, así como el estudio y determinación de origen de patologías presuntamente causadas por estrés ocupacional.
</t>
  </si>
  <si>
    <t xml:space="preserve">&gt;Res 1216 de 2025 norma ADM no SST </t>
  </si>
  <si>
    <t xml:space="preserve">1. ¿La empresa ha identificado los requisitos específicos de Resolución 413 del 12-03-2025 Minsalud incorporan nuevas variables en la estructura de la Planilla Integrada de Liquidación de Aportes - PILA, relacionadas con: a. El contratante de trabajadores independientes, el tipo de aportante "Contratante” que aplican a su actividad económica y tamaño?
2. ¿Se dispone de procedimientos, instructivos o formatos que permitan cumplir con las exigencias técnicas y administrativas de Resolución 413 del 12-03-2025 Minsalud incorporan nuevas variables en la estructura de la Planilla Integrada de Liquidación de Aportes - PILA, relacionadas con: a. El contratante de trabajadores independientes, el tipo de aportante "Contratante”?
3.  La empresa ha adoptado el Formulario Único de Afiliación y Reporte de Novedades al Sistema General de Riesgos Laborales, contenido en el Anexo Técnico No. 1 de la norma ? </t>
  </si>
  <si>
    <t xml:space="preserve">Artículos 1 y 2 - Anexo técnico </t>
  </si>
  <si>
    <t xml:space="preserve">
1. ¿Se dispone de procedimientos, instructivos o formatos que permitan cumplir con las exigencias técnicas y administrativas de Resolución 624 del 8-04-2025 Minsalud adopta el Manual para la señalización de los ambientes 100% libres de humo de tabaco y aerosoles emitidos por sus sucedáneos e imitadores?
2. ¿Existen registros (informes, actas, listados, certificados, reportes en plataformas) que evidencien el cumplimiento de Resolución 624 del 8-04-2025 Minsalud adopta el Manual para la señalización de los ambientes 100% libres de humo de tabaco y aerosoles emitidos por sus sucedáneos e imitadores?</t>
  </si>
  <si>
    <t xml:space="preserve">Res 624 2 veces </t>
  </si>
  <si>
    <t xml:space="preserve">1. ¿La empresa cuenta con evidencias de monitoreo y control sobre riesgo o casos de fiebre amarilla, debido a  la emergencia sanitaria en todo el territorio nacional por el brote causado por este  virus  y  por la cual se adoptaron  medidas de control ? 
2. ¿Existen registros (informes, actas, listados, certificados, reportes en plataformas) que evidencien el cumplimiento de Resolución 691 del 16/04/2025 Minsalud Por medio de la cual se declara la emergencia sanitaria en todo el territorio nacional por el brote causado por el virus de la fiebre amarilla y se adoptan medidas?
</t>
  </si>
  <si>
    <t>Circular 0055</t>
  </si>
  <si>
    <t>Artículo. 23.</t>
  </si>
  <si>
    <t>Contratistas.Pago SSI de otros tipos de contrato. Temporales, en misión, independientes. SG-SST para contratistas.</t>
  </si>
  <si>
    <t>Decreto 1703</t>
  </si>
  <si>
    <t>Artículos. 10,11</t>
  </si>
  <si>
    <t>Artículo  2</t>
  </si>
  <si>
    <t xml:space="preserve">Resolución 0799 </t>
  </si>
  <si>
    <t>Por la cual se reglamentan los Sistemas de Recolección y Gestión de las Baterías Usadas Plomo Ácido (BUPA) y se dictan otras disposiciones</t>
  </si>
  <si>
    <t xml:space="preserve">Artículo 6  </t>
  </si>
  <si>
    <r>
      <t xml:space="preserve">1. ¿La empresa ha identificado los requisitos específicos dela Resolución </t>
    </r>
    <r>
      <rPr>
        <b/>
        <sz val="11"/>
        <color theme="1"/>
        <rFont val="Calibri"/>
        <family val="2"/>
        <scheme val="minor"/>
      </rPr>
      <t xml:space="preserve">Artículo 6 que indica : </t>
    </r>
    <r>
      <rPr>
        <i/>
        <sz val="10"/>
        <color theme="1"/>
        <rFont val="Calibri"/>
        <family val="2"/>
        <scheme val="minor"/>
      </rPr>
      <t xml:space="preserve">Los usuarios o consumidores de baterías plomo ácido deben: 1. Seguir las instrucciones de manejo seguro y mantenimiento de las baterías plomo ácido, suministradas por el productor o el comercializador, con el fin de prevenir o minimizar la generación de BUPA. 2. No mezclar las BUPA con otro tipo de residuos y tampoco entregarlas a personas no autorizadas. 3. Devolver las BUPA a través de los mecanismos de recolección establecidos por los Sistemas de Recolección y Gestión de BUPA y seguir las instrucciones dadas por los productores y comercializadores para dicha devolución. 
4. No desensamblar, retirar o manipular las partes y componentes de las BUPA, así como, no drenar el electrolito de las baterías previo a la entrega de estas a los Sistemas de Recolección y Gestión de BUPA. 5. Contribuir a concientizar a otros usuarios o consumidores y a difundir la información relacionada con los mecanismos de recolección y devolución de los Sistemas de Recolección y Gestión de BUPA y la gestión ambientalmente adecuada de las BUPA. </t>
    </r>
    <r>
      <rPr>
        <i/>
        <sz val="11"/>
        <color theme="1"/>
        <rFont val="Calibri"/>
        <family val="2"/>
        <scheme val="minor"/>
      </rPr>
      <t xml:space="preserve">
</t>
    </r>
    <r>
      <rPr>
        <sz val="11"/>
        <color theme="1"/>
        <rFont val="Calibri"/>
        <family val="2"/>
        <scheme val="minor"/>
      </rPr>
      <t xml:space="preserve"> norma que aplica a  montacargas, grupos electrógenos y manejo de residuos peligrosos. que aplican a su actividad económica y tamaño?
2. ¿Se dispone de procedimientos, instructivos o formatos que permitan cumplir con las exigencias técnicas y administrativas de Resolución 0799 de 2025 – MADS (BUPA). Reglamenta los Sistemas de Recolección y Gestión de Baterías Usadas Plomo-Ácido (BUPA); deroga esquemas previos. Entra a regir el 1-ene-2026 (preparación en 2025). Afecta flotas, montacargas, grupos electrógenos y manejo de residuos peligrosos.?
3. ¿Existen registros (informes, actas, listados, certificados, reportes en plataformas) que evidencien el cumplimiento de Resolución 0799 de 2025 – MADS (BUPA). Reglamenta los Sistemas de Recolección y Gestión de Baterías Usadas Plomo-Ácido (BUPA); deroga esquemas previos. Entra a regir el 1-ene-2026 (preparación en 2025). Afecta flotas, montacargas, grupos electrógenos y manejo de residuos peligrosos.?
4. ¿Los responsables del SG-SST realizan seguimiento periódico a los ítems de Resolución 0799 de 2025 – MADS (BUPA). Reglamenta los Sistemas de Recolección y Gestión de Baterías Usadas Plomo-Ácido (BUPA); deroga esquemas previos. Entra a regir el 1-ene-2026 (preparación en 2025). Afecta flotas, montacargas, grupos electrógenos y manejo de residuos peligrosos. incluidos en la matriz legal y documentan los resultados?
5. ¿Se han comunicado los requisitos de Resolución 0799 de 2025 – MADS (BUPA). Reglamenta los Sistemas de Recolección y Gestión de Baterías Usadas Plomo-Ácido (BUPA); deroga esquemas previos. Entra a regir el 1-ene-2026 (preparación en 2025). Afecta flotas, montacargas, grupos electrógenos y manejo de residuos peligrosos. a los trabajadores, contratistas y proveedores que se ven impactados por esta norma?
6. ¿Las no conformidades asociadas al cumplimiento de Resolución 0799 de 2025 – MADS (BUPA). Reglamenta los Sistemas de Recolección y Gestión de Baterías Usadas Plomo-Ácido (BUPA); deroga esquemas previos. Entra a regir el 1-ene-2026 (preparación en 2025). Afecta flotas, montacargas, grupos electrógenos y manejo de residuos peligrosos. generan acciones correctivas o de mejora con responsables y fechas definidas?</t>
    </r>
  </si>
  <si>
    <t xml:space="preserve">decreto 2025 no tenía año : se consulto 2011- 2015 y 2025 ninguno aplica </t>
  </si>
  <si>
    <t xml:space="preserve">Artículos 3 y  15 </t>
  </si>
  <si>
    <t xml:space="preserve">Decreto 2800 </t>
  </si>
  <si>
    <t xml:space="preserve">Decreto 4369 </t>
  </si>
  <si>
    <t>Por el cual se reglamenta el ejercicio de la actividad de las Empresas de Servicios Temporales y se dictan otras disposiciones.</t>
  </si>
  <si>
    <t xml:space="preserve">Trabajadores temporales </t>
  </si>
  <si>
    <t xml:space="preserve">Capítulo III
Obligaciones de las empresas de servicios temporales.  Artículo  14 </t>
  </si>
  <si>
    <r>
      <t xml:space="preserve">1. ¿El SG-SST incorpora los requisitos establecidos en Decreto 4369 de 2006(Art. 8,12-14) dentro de sus procedimientos, estándares y controles operativos? 
2. ¿Se cuenta con documentación actualizada (procedimientos, instructivos, protocolos) que evidencie la implementación de lo definido en  el artículo 14 :   </t>
    </r>
    <r>
      <rPr>
        <i/>
        <sz val="11"/>
        <color theme="1"/>
        <rFont val="Calibri"/>
        <family val="2"/>
        <scheme val="minor"/>
      </rPr>
      <t xml:space="preserve">La Empresa de Servicios Temporales es responsable de la salud ocupacional de los trabajadores de planta y en misión, en los términos previstos en el Decreto 1530 de 1996 y demás normas que lo modifiquen, adicionen o sustituyan.?  </t>
    </r>
    <r>
      <rPr>
        <sz val="11"/>
        <color theme="1"/>
        <rFont val="Calibri"/>
        <family val="2"/>
        <scheme val="minor"/>
      </rPr>
      <t xml:space="preserve">
3. ¿Se verifica de manera periódica el cumplimiento de Decreto 4369 de 2006(Art. 8,12-14) en auditorías internas, inspecciones o revisiones de la matriz legal?
4. ¿Los responsables de cada proceso conocen las obligaciones derivadas de Decreto 4369 de 2006(Art. 8,12-14) que les aplican y cuentan con los recursos para cumplirlas?
5. ¿Se conservan registros (informes, actas, listas de verificación, reportes) que demuestren la aplicación práctica de Decreto 4369 de 2006(Art. 8,12-14) en la empresa?
6. ¿Las actualizaciones o derogatorias relacionadas con Decreto 4369 de 2006(Art. 8,12-14) se reflejan oportunamente en la matriz legal y en los documentos del SG-SST?</t>
    </r>
  </si>
  <si>
    <t xml:space="preserve"> Artículos 1 -3</t>
  </si>
  <si>
    <t>Decreto 948</t>
  </si>
  <si>
    <t>R. 0312</t>
  </si>
  <si>
    <t xml:space="preserve">Artículo 30 </t>
  </si>
  <si>
    <t xml:space="preserve">Circular 045  </t>
  </si>
  <si>
    <t xml:space="preserve">Resolución 1857  </t>
  </si>
  <si>
    <t xml:space="preserve">Resolución 0312  </t>
  </si>
  <si>
    <t xml:space="preserve">Estándares Mínimos del SG-SST.    Siniestralidad vial 
</t>
  </si>
  <si>
    <t>Estándares Mínimos del SG-SST.   Manipulación sustancias químicas</t>
  </si>
  <si>
    <t xml:space="preserve">Decreto 2106 </t>
  </si>
  <si>
    <t xml:space="preserve">Artículos 1 y 2                                                 Anexos técnicos 1- 5 </t>
  </si>
  <si>
    <t>Artículos  2.2.4.6.15, 23 y 24</t>
  </si>
  <si>
    <t xml:space="preserve">Tabla de Enfermedades Laborales. Ruido </t>
  </si>
  <si>
    <t xml:space="preserve">Decreto  1477 </t>
  </si>
  <si>
    <t xml:space="preserve">Decreto 1477 </t>
  </si>
  <si>
    <t>Tabla de Enfermedades LaboralesVirus, Hongos, Bacterias, parásitos, picaduras, mordedura, Instalaciones sanitarias</t>
  </si>
  <si>
    <t xml:space="preserve">Circular 042 </t>
  </si>
  <si>
    <t xml:space="preserve">Decreto 1609 </t>
  </si>
  <si>
    <t xml:space="preserve">Ley 361 </t>
  </si>
  <si>
    <t>Decreto  1295</t>
  </si>
  <si>
    <t xml:space="preserve">Decreto 1295  </t>
  </si>
  <si>
    <t xml:space="preserve">Ley 55 </t>
  </si>
  <si>
    <t xml:space="preserve">Ley 52 </t>
  </si>
  <si>
    <t xml:space="preserve">Ley 40 </t>
  </si>
  <si>
    <t xml:space="preserve">Ley 100 </t>
  </si>
  <si>
    <t>Resolución  2400</t>
  </si>
  <si>
    <r>
      <t>Requisitos y procedimientos para la expedición, renovación y modificación de la licencia de Seguridad y Salud en el Trabajo (SST)</t>
    </r>
    <r>
      <rPr>
        <sz val="11"/>
        <color rgb="FF0A0A0A"/>
        <rFont val="Calibri"/>
        <family val="2"/>
        <scheme val="minor"/>
      </rPr>
      <t>, tanto para personas naturales como jurídicas</t>
    </r>
  </si>
  <si>
    <t xml:space="preserve">Artículo 2    Linea operativa 1.5    Linea Estratégica 2  Linea Estratégica 4          Linea operativa 4. 13                                                </t>
  </si>
  <si>
    <t xml:space="preserve">Artículo  8- 9  y 11. </t>
  </si>
  <si>
    <t>1. ¿La empresa ha identificado los requisitos específicos de la norma en la cual se indica que  las empresas que los adopten y ejecuten correctamente tendrán prioridad en la asignación de los permisos ambientales y en el acceso a incentivos tributarios y financieros ?  
2. ¿Se dispone de procedimientos, instructivos o formatos que permitan cumplir con las exigencias técnicas y administrativas de Resolución_756 del 27-04-2023 área metropolitana, Planes de Movilidad Empresarial Sostenible -Planes MES?
3. ¿Existen registros (informes, actas, listados, certificados, reportes en plataformas) que evidencien el cumplimiento de Resolución_756 del 27-04-2023 área metropolitana, Planes de Movilidad Empresarial Sostenible -Planes MES?
4. ¿Los responsables del SG-SST realizan seguimiento periódico a los ítems de Resolución_756 del 27-04-2023 área metropolitana, Planes de Movilidad Empresarial Sostenible -Planes MES incluidos en la matriz legal y documentan los resultados?
5. ¿Se han comunicado los requisitos de Resolución_756 del 27-04-2023 área metropolitana, Planes de Movilidad Empresarial Sostenible -Planes MES a los trabajadores, contratistas y proveedores que se ven impactados por esta norma?
6. ¿Las no conformidades asociadas al cumplimiento de Resolución_756 del 27-04-2023 área metropolitana, Planes de Movilidad Empresarial Sostenible -Planes MES generan acciones correctivas o de mejora con responsables y fechas definidas?</t>
  </si>
  <si>
    <t xml:space="preserve">Resolución 2851 </t>
  </si>
  <si>
    <t xml:space="preserve"> 
Por medio de la cual se revoca la Resolución No. 3032 de 2022 “Por la cual se expone la Guía para la Identificación de Actividades de Alto Riesgo, definidas en el Decreto 2090 del 2003”
 </t>
  </si>
  <si>
    <t xml:space="preserve">Artículo 1 </t>
  </si>
  <si>
    <t xml:space="preserve">Derogar la Resolución 555 de 2023 "Por medio de la cual se establece el uso obligatorio del tapabocas ysé mantienen las medidas de autocuidado", expedida por esta cartea ministerial, por las razones expuestas en la parte motiva del presente acto administrativo. </t>
  </si>
  <si>
    <t xml:space="preserve">Artículo 1 al 35 </t>
  </si>
  <si>
    <t xml:space="preserve">Licencias- matrículas - Registro RUNT 
</t>
  </si>
  <si>
    <t xml:space="preserve">1.La empresa conoce y ha aplicado  la Licencia Parental Flexible: La resolución modifica la PILA para permitir que los trabajadores (dependientes e independientes) que hagan uso de la licencia parental flexible de tiempo parcial puedan realizar aportes al Sistema de Riesgos Laborales (ARL)? 
2.La empresa ha reportado las novedades de Incapacidad y Maternidad (Para independientes): Las novedades de incapacidad temporal por enfermedad general y licencia de maternidad para los cotizantes independientes pasan de ser informativas a ser aplicativas dentro de la PILA. Esto implica un cambio en la forma en que se reportan y gestionan estas situaciones.? 
3. La empresa tiene conocimiento sobre lo siguiente  : A partir de la implementación de la resolución (septiembre de 2023), los operadores de PILA no aceptan el Permiso Especial de Permanencia (PEP) como documento válido para el recaudo de aportes al Sistema de Seguridad Social Integral y Parafiscales de cotizantes activos, debido a su pérdida de vigencia? </t>
  </si>
  <si>
    <t>Libro 1. Aspectos Generales
Libro 2. Productos objeto del RETILAP
Libro 3. Instalaciones de sistemas de iluminación
Libro 4. Evaluación de la conformidad</t>
  </si>
  <si>
    <t xml:space="preserve">1.   La empresa tiene conocimiento sobre el Reglamento Técnico de Iluminación y Alumbrado Público - RETILAP que  fue expedido en su última versión mediante la Resolución 40150 del 03 de mayo de 2024, y se encuentra contenido en cuatro libros que forman parte integral del acto administrativo, precisando que la resolución en mención empezará a regir a partir de su publicación en el Diario Oficial No. 52.745 del 03 de mayo de 2024.? 
2. ¿La empresa ha registrado en la matriz legal las obligaciones derivadas de R. 40176 del 2-02-2023. MinMinas, por la cual se amplia el RETILAP y ha definido su aplicabilidad?
3. ¿Los procedimientos y controles del SG-SST contemplan lo establecido en R. 40176 del 2-02-2023. MinMinas, por la cual se amplia el RETILAP para las actividades y procesos de la organización?
4. ¿Existe evidencia documental (registros, informes, actas, comunicaciones) que demuestre la aplicación de R. 40176 del 2-02-2023. MinMinas, por la cual se amplia el RETILAP?
5. ¿Se ha socializado el contenido de R. 40176 del 2-02-2023. MinMinas, por la cual se amplia el RETILAP con los responsables de cada proceso y con los trabajadores cuando es pertinente?
6. ¿Se revisa periódicamente el cumplimiento de R. 40176 del 2-02-2023. MinMinas, por la cual se amplia el RETILAP y se generan planes de acción cuando se identifican desviaciones?
</t>
  </si>
  <si>
    <t xml:space="preserve">ley 2294 de 2023 plan Dllo del gobierno actual  </t>
  </si>
  <si>
    <t>Por medio de la cual se modifica la ley 769 de 2002, se reglamenta la actividad de los organismos de apoyo al tránsito, garantizando el buen funcionamiento de los centros de enseñanza automovilística - CEA, como. mecanismo de prevención y amparo de la siniestralidad vial, y se dictan otras disposiciones</t>
  </si>
  <si>
    <t xml:space="preserve">Artículos 4- 9 </t>
  </si>
  <si>
    <t>Por el cual se sustituyen los capítulos 1, 2, 3 Y 4 del Título 3 de la Parte 2 del Libro 2 del Decreto 780 de 2016, en relación con el reconocimiento y pago de las prestaciones económicas del Sistema General de Seguridad Social en Salud y se dictan otras disposiciones</t>
  </si>
  <si>
    <t>Prestaciones económicas</t>
  </si>
  <si>
    <t>circular ext 177 aplica a centros de dx automotriz</t>
  </si>
  <si>
    <t>Artículos 3- 14</t>
  </si>
  <si>
    <t>Reglamenta el proceso de registro de instalaciones clasificadas de acuerdo con los artículos 2.2.4.12.8 y 2.2.4.12.9 del Decreto número 1347 de 2021, por medio del cual dichas instalaciones se inscribirán ante el Ministerio del Trabajo y se suministrará por parte del responsable de la instalación la información requerida para el programa de prevención de accidentes mayores.</t>
  </si>
  <si>
    <t>1. ¿La empresa ha identificado y ha procedido con los requisitos específicos de Resolución 4979 del 7-11-2024 Mintrabajo Reglamenta el procedimineto para el registro de instalaciones clasificadas para el programa de prevención de accidentes mayores que aplican a su actividad económica y tamaño?  el cual dice en el  Artículo 6°.   El responsable de la instalación clasificada deberá suministrar al Ministerio del Trabajo la información relacionada con la identificación y localización de la instalación, de acuerdo con lo establecido en la herramienta tecnológica dispuesta por el Ministerio del Trabajo?
2. La empresa ha   reportado las actividades económicas con base en la Clasificación Industrial Internacional Uniforme revisión 4AC, o aquella clasificación que la actualice, modifique o sustituya, de acuerdo con lo establecido en la herramienta tecnológica dispuesta por el Ministerio del Trabajo.? 
3. La empresa ha  Identificado  las sustancias químicas peligrosas asociadas a accidentes mayores en la instalación?   4. La empresa  tiene  listadas todas las sustancias químicas peligrosas asociadas a accidentes mayores que clasifican a la instalación, con base en lo establecido en el Anexo 3 del Decreto número 1347 de 2021, “Listado de Sustancias Químicas Peligrosas Asociadas a Accidentes Mayores”, diligenciando todos los campos de la herramienta tecnológica dispuesta por el Ministerio del Trabajo? 
4 ¿Se dispone de procedimientos, instructivos o formatos que permitan cumplir con las exigencias técnicas y administrativas de Resolución 4979 del 7-11-2024 Mintrabajo Reglamenta el procedimineto para el registro de instalaciones clasificadas para el programa de prevención de accidentes mayores?
5. ¿Existen registros (informes, actas, listados, certificados, reportes en plataformas) que evidencien el cumplimiento de Resolución 4979 del 7-11-2024 Mintrabajo Reglamenta el procedimineto para el registro de instalaciones clasificadas para el programa de prevención de accidentes mayores?
6. ¿Los responsables del SG-SST realizan seguimiento periódico a los ítems de Resolución 4979 del 7-11-2024 Mintrabajo Reglamenta el procedimineto para el registro de instalaciones clasificadas para el programa de prevención de accidentes mayores incluidos en la matriz legal y documentan los resultados?
7. ¿Se han comunicado los requisitos de Resolución 4979 del 7-11-2024 Mintrabajo Reglamenta el procedimineto para el registro de instalaciones clasificadas para el programa de prevención de accidentes mayores a los trabajadores, contratistas y proveedores que se ven impactados por esta norma?
8. ¿Las no conformidades asociadas al cumplimiento de Resolución 4979 del 7-11-2024 Mintrabajo Reglamenta el procedimineto para el registro de instalaciones clasificadas para el programa de prevención de accidentes mayores generan acciones correctivas o de mejora con responsables y fechas definidas?</t>
  </si>
  <si>
    <t xml:space="preserve">Resolución 40117 </t>
  </si>
  <si>
    <t>Artículo 1- 4</t>
  </si>
  <si>
    <t>Por la cual se establecen los requisitos mínimos de seguridad y salud para el desarrollo de trabajo en calderas y se dictan otras disposiciones</t>
  </si>
  <si>
    <t xml:space="preserve">Capítulo II
De la SST  en el trabajo en calderas 
Artículo 8. Peligros en calderas. Artículo 1- 17 </t>
  </si>
  <si>
    <t>1. ¿La empresa ha identificado los requisitos específicos de la norma o Requisitos mínimos en SST para trabajos en calderas  artículos 8 -11 que aplican a su actividad económica ?   teniendo en cuenta la Prevención,  Para el diseño, fabricación, operación y mantenimiento de las calderas en Colombia, en el cual es obligatorio tener en cuenta el marco legal vigente sobre riesgos laborales, identificando y previniendo  explosiones de partes a presión, incendios, accidentes y enfermedades laborales, cargas contaminantes aportadas por medio de los vertimientos de agua, emisiones atmosféricas (de material particulado, gases y vapores) y emisión de ruidos, entre otros? 
2. La empresa ha tenido en cuenta y cuenta con la polítca y procedimientos de trabajo seguro sobre el hecho que :  Ninguna persona extraña a las labores en calderas debe tener acceso o permanecer en las áreas de calderas, salvo quienes estén autorizados por el responsable de la operación o mantenimiento de la caldera, jefe de turno o el responsable de implementar el Sistema de Gestión de Seguridad y Salud en el Trabajo.
3. La empresa cuenta con los  elementos y equipos de protección personal para  trabajo en calderas, donde  la empresa debe proporcionar y seleccionar los elementos y equipos de protección personal, realizar su mantenimiento y reposición acorde al peligro, riesgo o tarea, así como de supervisar a la población trabajadora en su uso?  . 4. La empresa cuenta con un control registrado de verificación y cumplimiento sobre loselementos y equipos de protección personal , que deben cumplir con los requisitos mínimos establecidos en las normas nacionales o internacionales reconocidas?
4. La empresa cuenta con un  Plan de emergencias?  el cual incluye plan de prevención, preparación y respuesta ante emergencias lo establecido en el numeral 12 del artículo 2.2.4.6.12 y el artículo 2.2.4.6.25 del Decreto 1072 de 2015; el cual como mínimo debe contemplar las actividades a desarrollar frente a situaciones de incidentes o accidentes en el lugar de trabajo en la instalación, operación de calderas o sus equipos auxiliares y tuberías sujetas a presión asociadas a calderas, el cual ha sido implementado practicado y verificado, acorde con las actividades que se ejecuten y garantice una respuesta oportuna que se pueda presentar en el sitio de trabajo, incluido un plan de rescate; para su ejecución puede hacerlo con recursos propios, para que estén en capacidad de actuar y proteger su salud e integridad, ante una emergencia real o potencial? 
5. ¿Se dispone de procedimientos, instructivos o formatos que permitan cumplir con las exigencias técnicas y administrativas de Resolución 1857 del 27-05-2024 Min trabajo Requisitos mínimos en SST para trabajos en calderas art 67?
6.. ¿Existen registros (informes, actas, listados, certificados, reportes en plataformas) que evidencien el cumplimiento de Resolución 1857 del 27-05-2024 Min trabajo Requisitos mínimos en SST para trabajos en calderas art 67?
7. ¿Los responsables del SG-SST realizan seguimiento periódico a los ítems de Resolución 1857 del 27-05-2024 Min trabajo Requisitos mínimos en SST para trabajos en calderas art 67 incluidos en la matriz legal y documentan los resultados?
8. ¿Se han comunicado los requisitos de Resolución 1857 del 27-05-2024 Min trabajo Requisitos mínimos en SST para trabajos en calderas art 67 a los trabajadores, contratistas y proveedores que se ven impactados por esta norma?
 9. ¿Las no conformidades asociadas al cumplimiento de Resolución 1857 del 27-05-2024 Min trabajo Requisitos mínimos en SST para trabajos en calderas art 67 generan acciones correctivas o de mejora con responsables y fechas definidas?</t>
  </si>
  <si>
    <t xml:space="preserve">Res 221 _ 24 repetida . Tema PILA </t>
  </si>
  <si>
    <t xml:space="preserve">ley 23 54 menores de 18 venta cigarrillo </t>
  </si>
  <si>
    <t xml:space="preserve">circular 117 - 24 reconocimiento destrucción total de vehículos de carga </t>
  </si>
  <si>
    <t>PRESTACIÓN DE SERVICIOS ASISTENCIALES Y ECONÓMICOS A CARGO DE LAS ADMINISTRADORAS DE RIESGOS LABORALES EN EL SISTEMA GENERAL DE RIESGOS LABORALES PARA ATENDER ACCIDENTES DE TRABAJO O ENFERMEDAD LABORAL (ATEL) EN EL SECTOR TRANSPORTE</t>
  </si>
  <si>
    <t>Prestaciones económicas y asistenciales por accidentes de tránsito- Enfermedad laboral conductores</t>
  </si>
  <si>
    <t>circular 69 repetida</t>
  </si>
  <si>
    <t xml:space="preserve">Artículo 1. Objeto
Artículo 2. Ámbito de aplicación
Artículo 3. Entidades, organizaciones o empresas nuevas
Artículo 4. Transitorio
Artículo 5. Vigencia y derogatorias
Anexo Metodología para el diseño e implementación del PESV
</t>
  </si>
  <si>
    <t>1. ¿La empresa ha identificado los requisitos específicos de Resolución 40595 del 12-07-2022 Metodología para el diseño, implementación y verificación de los PESV. Deroga la Resololución 1565 de 2014 que aplican a su actividad económica y tamaño en el cual se indica que la empresa ha debido diseñar el Plan Estratégico de Seguridad Vial que contendrá como mínimo:a) Diagnóstico y caracterización de los riesgos de seguridad vial de la empresa. asociados a la flota de vehículos o al personal de conductores b) Capacitaciones en seguridad vial a los trabajadores de su entidad organización o empresa independientemente del cargo o rol que desempeñe. c) Compromisos claros del nivel directivo de la entidad organización o empresa orientados al cumplimiento de las acciones y estrategias en seguridad vial ?
d)  Actividades de inspección y mantenimiento periódico a los vehículos de la entidad organización o empresa incluidos los vehículos propios de los trabajadores puestos al servicio de la organización para el cumplimiento misional de su objeto o función.»
2. ¿Se dispone de procedimientos, instructivos o formatos que permitan cumplir con las exigencias técnicas y administrativas de Resolución 40595 del 12-07-2022 Metodología para el diseño, implementación y verificación de los PESV. Deroga la Resololución 1565 de 2014?
3. ¿Existen registros (informes, actas, listados, certificados, reportes en plataformas) que evidencien el cumplimiento de Resolución 40595 del 12-07-2022 Metodología para el diseño, implementación y verificación de los PESV. Deroga la Resololución 1565 de 2014?
4. ¿Los responsables del SG-SST realizan seguimiento periódico a los ítems de Resolución 40595 del 12-07-2022 Metodología para el diseño, implementación y verificación de los PESV. Deroga la Resololución 1565 de 2014 incluidos en la matriz legal y documentan los resultados?
5. ¿Se han comunicado los requisitos de Resolución 40595 del 12-07-2022 Metodología para el diseño, implementación y verificación de los PESV. Deroga la Resololución 1565 de 2014 a los trabajadores, contratistas y proveedores que se ven impactados por esta norma?
6. ¿Las no conformidades asociadas al cumplimiento de Resolución 40595 del 12-07-2022 Metodología para el diseño, implementación y verificación de los PESV. Deroga la Resololución 1565 de 2014 generan acciones correctivas o de mejora con responsables y fechas definidas?</t>
  </si>
  <si>
    <t>Por la cual se reglamenta la expedición de los certificados de aptitud física, mental y de coordinación motriz para la conducción de vehículos y se dictan otras disposiciones” del Ministerio de Transporte; y se dictan otras disposiciones</t>
  </si>
  <si>
    <t xml:space="preserve">1. ¿La empresa ha identificado los requisitos específicos de la norma y ha adoptado las Guías I y II  adoptando las guías para prevenir exposición riesgo Biológico  Instrucciones para la intensificación y fortalecimiento de las acciones de atención integral  que aplican a su actividad económica y tamaño?
2. ¿Se dispone de procedimientos, instructivos o formatos que permitan cumplir las Guías I y II  adoptando las guías para prevenir exposición riesgo Biológico? 
3. ¿Existen registros (informes, actas, listados, certificados, reportes en plataformas) que evidencien el cumplimiento a  las Guías I y II  adoptando las guías para prevenir exposición riesgo Biológico? 
</t>
  </si>
  <si>
    <t xml:space="preserve">Artículos 1- 5  . Guía I y  Guía II </t>
  </si>
  <si>
    <t xml:space="preserve">Artículos 1- 8 .  Anexo técnico </t>
  </si>
  <si>
    <t xml:space="preserve">1. ¿La empresa ha identificado, cuenta con evidencia documental sobre los requisitos de la norma para prevención y control del riesgo por exposición a sílice cristalina el cual indica las obligaciones para el empleador ?  los cuales se listan a continuacón : a) Diseñar, implementar y mantener un programa para Identificar, prevenir y controlar la exposición a Sílice Cristalina Respirable en los ambientes de trabajo, dentro del campo de aplicación del Reglamento de Higiene y Seguridad para la Prevención y el Control del Riesgo por Exposición a Sílice Cristalina Respirable. Las medidas de prevención y control deben adoptarse de acuerdo con el esquema de jerarquización establecido en el artículo 2.2.4.6.24. del Decreto 1072 del 2015 o la norma que lo modifique, sustituya o adicione y las mismas, deben hacer parte del sistema de vigilancia epidemiológica para material particulado. b) Dentro de las acciones del Sistema de Vigilancia Epidemiológica, Implementar un programa de protección respiratoria que, entre otras, incluya el deber de proporcionar sin costo para el trabajador equipos de protección personal adecuados para este tipo de riesgos, velando por su mantenimiento y poniendo en aplicación medidas destinadas a asegurar su utilización. B)  Informar al Comité Paritario de Seguridad y Salud en el Trabajo COPASST y/o vigía del Sistema de Gestión de Seguridad y Salud en el Trabajo, sobre el resultado de las mediciones ambientales y de las medidas de control adoptadas para prevenir y controlar la exposición a Sílice Cristalina Respirable. C) Realizar la inspección y el mantenimiento periódico de las instalaciones, máquinas y equipos para prevenir la contaminación del ambiente de trabajo, de manera tal, que la concentración de la exposición a Sílice Cristalina Respirable se mantenga por debajo de los valores límites permisibles; no obstante, los empleadores y contratantes deben mantener el nivel de exposición dentro de los límites establecidos. D)  Informar a los contratistas y subcontratistas acerca de las medidas de prevención contenidas en el Reglamento de Higiene y Seguridad para la Prevención y el Control del Riesgo por Exposición a Sílice Cristalina Respirable y asegurar que todo el personal independientemente de su forma de vinculación cumpla con las disposiciones contenidas en el mismo.  E) Realizar evaluaciones médicas ocupacionales de exposición a Sílice Cristalina Respirable, de acuerdo con lo establecido en el Reglamento de Higiene y Seguridad para la Prevención y el Control del Riesgo por Exposición a Sílice Cristalina Respirable, permitiendo mecanismos de diagnóstico temprano de las patologías relacionadas por exposición a Sílice Cristalina Respirable.  F) Remitir a su Administradora de Riesgos Laborales (ARL) dentro del último trimestre del año, la información requerida de acuerdo con lo establecido en el Reglamento de Higiene y Seguridad para la Prevención y el Control del Riesgo por Exposición a Sílice Cristalina Respirable y con las directrices que, para ello, defina el Ministerio del Trabajo.  G) Capacitar a la población trabajadora, en relación con la prevención y control de los riesgos derivados de la exposición a Sílice Cristalina Respirable para lo cual se podrá utilizar las tecnologías de la información, entre ellas, la de realidad virtual.
2. ¿Se dispone de procedimientos, instructivos o formatos que permitan cumplir con las exigencias técnicas y administrativas de Resolución 2467 del 1-07-2022 Min trabajo reglamento de HS para prevención y control del riesgo por exposición a sílice cristalina (Art 1- 8 y  de la Anexo  Técnico)?
</t>
  </si>
  <si>
    <r>
      <t>Modifica la Resolución 754 de 2021</t>
    </r>
    <r>
      <rPr>
        <sz val="11"/>
        <color rgb="FF0A0A0A"/>
        <rFont val="Calibri"/>
        <family val="2"/>
        <scheme val="minor"/>
      </rPr>
      <t>. . </t>
    </r>
  </si>
  <si>
    <t xml:space="preserve">Artículos 1- 3 </t>
  </si>
  <si>
    <t xml:space="preserve">Artículos 1- 24 </t>
  </si>
  <si>
    <t xml:space="preserve">Artículos 1- 18 </t>
  </si>
  <si>
    <t xml:space="preserve">1. La empresa cuenta con evidencia documentada de las condiciones para la excavación de taludes con corte superior a veinte (20) metros. En el caso que se requiera excavar taludes superiores a veinte (20) metros, será necesario que el responsable de la aplicación y cumplimiento del presente reglamento previo al inicio de las labores realice y presente para su aprobación ante la autoridad minera, un estudio geotécnico con el correspondiente cálculo de factores de seguridad que debe emplearse en el diseño de estas obras. En todo caso, la copia de estos estudios estará disponible en las instalaciones del proyecto minero.?   
</t>
  </si>
  <si>
    <t>1. La empresa tiene controladas y cuenta con evidencias de las  Labores exploratorias. Los apiques, trincheras y perforaciones exploratorias, las cuales deben ser señalizados y demarcados, una vez finalizada la toma de información de estos, se deben rellenar con el material extraído del aluvión, de igual manera, la explotación de aluviones , el uso de dragas en la explotación de aluvión, wl quipamiento de dragas para minería de aluvión., manejo de sedimentos ; tratamiento de colas yaguas residuales producto del beneficio de minerales. y  aplica las restricciones para la minería de subsistencia en zonas tituladas. ?</t>
  </si>
  <si>
    <t xml:space="preserve">1.  La empresa ha aplicado la normatividad cuando la explotación aluvial se realice por medio de mini-dragas,  ha  tenido cuidado que el aire suministrado para la normal respiración de los buzos debe ser puro (compresor para buceo), evitando la contaminación por gases de combustión emanados del motor de la bomba, con el fin de evitar problemas de intoxicación por gases respirados.?   b)  Cuando se realizan operaciones de buceo en el sistema de explotación con dragas, se ha nombrado una persona responsable de la operación, la cual debe, antes de permitir el inicio de cualquier operación:  
* Designar el supervisor de buceo para cada operación;  
* Elaborar la matriz de riesgos y el plan de emergencias, y  
*  Elaborar un informe en el cual se incluya: la naturaleza y el plan de actividades de la operación; planeamiento que involucre la embarcación, instalación, personal y equipos utilizados en la operación de buceo,  
2. La empresa ha tenido en cuenta que ninguna operación de buceo en las explotaciones aluviales se puede realizar sin la designación del supervisor, el cual, debe permanecer en el sitio de operación todo el tiempo y verificar que el personal que realice operaciones de buceo cumpla con los siguientes requisitos:  
- Tener al día las evaluaciones médicas
- No se encuentre bajo efectos de drogas, en estado de embriaguez, cansancio físico o enfermedad- Contar los elementos y equipos de seguridad necesarios de acuerdo con el lugar de buceo;  
- Contar con el equipo necesario para la operación de buceo, el cual debe estar disponible, en buen estado de mantenimiento y con los certificados actualizados para su funcionamiento
- Aplicar los estándares de seguridad y manejo del riesgo, regulaciones y procedimientos establecidos para la realización de dichas operaciones.  </t>
  </si>
  <si>
    <t xml:space="preserve">1. La empresa  identifica los peligros o amenazas, analizar su vulnerabilidad y valorar sus riesgos existentes en el proyecto minero, con el fin de estructurar un plan de prevención, preparación y respuesta ante emergencias, el cual contiene la siguiente estructura como mínimo: . 
1. Introducción; 
2. Política de la empresa referente a emergencias y contingencias; 
3. Objetivos; 
4. Organización del sistema de respuesta a la emergencia: 
4.1. Elaboración y difusión de cartillas de respuesta ante emergencias; 
4.2. Comité de crisis y sus responsables; 
4.3. Definición de áreas críticas; 
4.4. Comunicaciones; 
5. Capacitación y simulacros; 
6. Operaciones de respuesta: 
6.1. Procedimientos de notificación: 
6.1.1. Comunicación a la autoridad minera competente; 
6.1.2. Comunicación(es) a la(s) comunidad(es) involucrada(s); 
6.1.3. Comunicación con otras instituciones; 
6.2. Identificación de áreas críticas; 
6.3. Procedimiento de respuesta; 
6.4. Actividades de mitigación; 
6.5. Planes de disposición y eliminación; 
6.6. Plan de evacuación con los esquemas de salidas de emergencias y puntos de encuentro; 
7.Evaluación de la emergencia; 
8. Procedimientos para revisión y actualización del plan; 
9. Anexos: 
9.1. Listado de las Fichas, de Datos de Seguridad de los Materiales "Material Safety Date Sheet (MSDS)" en español. Debe haber una copia en el establecimiento de salud del campamento minero y al alcance de los seguridad, matriz de compatibilidad para el almacenamiento de las sustancias químicas utilizadas en el proyecto minero, de acuerdo con el sistema globalmente armonizado (SGA) de clasificación y etiquetado de productos químicos, de acuerdo con la norma que regula la materia expedida por el Ministerio del Trabajo o la que la modifique o sustituya; 
9.2. Información sobre las instalaciones con las que cuenta para dar respuesta a emergencias y contingencias; 
9.3. Procedimientos de alertas y alarmas; 
9.4. Lista de contactos; 
9.5. Listado de equipos para respuesta a las emergencias y contingencias en los que se debe incluir el desfibrilador automático o semiautomático externo en concordancia con la normatividad vigente; 
9.6. Equipos de comunicaciones; y, 
9.7. Definición de términos y unificación de criterios para atención de emergencias. 
Artículo 124. Implementación del plan de preparación y respuesta a emergencias y contingencias. Para la implementación del Plan de Emergencias y Contingencias, se debe disponer de:  - Los recursos financieros y humanos necesarios para afrontar los riesgos identificados; - Los sistemas de alarma;  - Los procedimientos operativos normalizados; y  -   La realización de por lo menos un (1) simulacro anual de emergencia, con la participación de todos los trabajadores.  
2. La empresa cuenta con Brigada de emergencia, conformada por personas organizadas, capacitadas, entrenadas y certificadas como brigadistas integrales, en cada especialidad, propendiendo que se disponga de brigadistas en todos los turnos y que cumplan con el propósito de prevenir y controlar cualquier contingencia derivada de emergencia, siniestro o desastre conforme a la matriz de identificación de peligros.  ha capacitado y certificado a los miembros de la brigada y reentrenarlos en las respectivas competencias.  ? 
Y en la cual ha tenido en cuenta las competencias de los brigadistas?  . Los trabajadores que conformen la brigada de emergencia deben ser competentes en:  
1. Primeros auxilios;  
2. Evacuación y rescate;  
3. Control de incendios;  
4. Manejo de materiales y/o sustancias peligrosas; y,  
5. Comunicaciones.  
3. En caso de presentarse una eventualidad que ponga en riesgo la salud de los trabajadores, la empresa está en capacidad de brindar gratuitamente, la atención de primeros auxilios, para lo cual dispondrá de personal capacitado y equipos necesarios para dicha atención? 
4. La empresa cumple con el manejo de sustancias y/o materiales químicos tóxicos ? el cual  debe contar con un botiquín de primeros auxilios, kit de emergencia para atención de derrames y además de la hoja de datos de seguridad en español de cada sustancia, colocada en lugar visible y la matriz de compatibilidad para su almacenamiento. ? 
  </t>
  </si>
  <si>
    <t xml:space="preserve">Evaluación general :                                                                                                                                           1. Se cuenta con la  reglamentación del procedimiento de identificación de peligros, evaluación y valoración de riesgos en las labores mineras, lo cual debe reflejarse en la matriz legal del SG-SST.?
2.Se cuenta con Protocolos para la ejecución de las labores mineras.?               3.Se establece la obligación de crear protocolos para la ejecución de labores mineras ? ( deben estar alineados con la normativa y los riesgos identificados).
4. Se han tenido en cuenta los  criterios para la selección, uso y mantenimiento de equipos y elementos de protección personal ?.
5.  Se cuenta con registros y planos dentro del SG-SST y están  incluidos en la matriz de peligros?
6.Se cuenta con un Plan de prevención, preparación y respuesta ante emergencias? </t>
  </si>
  <si>
    <t xml:space="preserve">Artículos 1- 5 </t>
  </si>
  <si>
    <t xml:space="preserve">Resolución 4272  </t>
  </si>
  <si>
    <t xml:space="preserve">1. La empresa ha incorporado  las directrices nacionales para el manejo de derrames y emergencias con sustancias peligrosas en sus propios planes de prevención, preparación y respuesta ante emergencias.                                                                                             2. Se tiene comtemplado  el procecedimiento de acuerdo al plan de contingencia en los posibles incidentes por pérdida de contención de hidrocarburos y otras sustancias peligrosas?                                                                                                                                                                   3. se han incluído protocolos de emergencia en relación a derrames, almacenamiento , transporte de  insumos o combustibles (como fuel oil, aditivos químicos, etc.?                                                                                                  4.  Se han tenido en  cuenta  los lineamientos para la elaboración de los planes de contingencia de acuerdo al anexo técnico de la norma                                                                                  5.  La empresa ha  integrado estos lineamientos en su plan de preparación y respuesta ante emergencias del SGSST.                                                                                                                                             6. En los planes de contingencia, está claro que se da prioridad a la vida e integridad física de las personas expuestas, minimizando los daños al ambiente. </t>
  </si>
  <si>
    <t xml:space="preserve">dec 1252 pesv del 2021 </t>
  </si>
  <si>
    <t xml:space="preserve">res 7495 transitoria covid Bogotá </t>
  </si>
  <si>
    <t>Por la cual se modifica el numeral b de la Resolución 491</t>
  </si>
  <si>
    <t xml:space="preserve">res 2550 proroga cumplida </t>
  </si>
  <si>
    <t xml:space="preserve">Plazo bolsas de colores </t>
  </si>
  <si>
    <t xml:space="preserve">Resolución 0491 </t>
  </si>
  <si>
    <t xml:space="preserve">Artículos 1 al 44 </t>
  </si>
  <si>
    <t xml:space="preserve">Artículos 1- 8    </t>
  </si>
  <si>
    <t xml:space="preserve"> 
Por la cual se establecen las condiciones mínimas de uso del casco protector para los conductores y acompañantes de vehículos tipo motocicletas, motociclos, mototriciclos, motocarros, cuatrimotor y se dictan otras disposiciones.</t>
  </si>
  <si>
    <t>Resolución 5018</t>
  </si>
  <si>
    <t xml:space="preserve">Por la cual se modifica la Resolución 668 de 2016 sobre uso racional de bolsas plásticas y se adoptan otras disposiciones.   Código de colores </t>
  </si>
  <si>
    <t xml:space="preserve">Artículos 1- 11 </t>
  </si>
  <si>
    <t>Por medio del cual se adoptan directrices generales para la elaboración del plan de gestión del riesgo de desastres de las entidades públicas y privadas en el marco del artículo 42 de la Ley 1523 de 2012.</t>
  </si>
  <si>
    <t xml:space="preserve">Sub sección 1- 8 </t>
  </si>
  <si>
    <t xml:space="preserve">Artículos 1- 17 </t>
  </si>
  <si>
    <t xml:space="preserve">dec 1310 2026 pesv ya incluido en 1079 y 40595 </t>
  </si>
  <si>
    <t xml:space="preserve">Articulos 2- 4 </t>
  </si>
  <si>
    <t>ARTÍCULO 2.2.4.6.19. Indicadores del sistema de gestión de la seguridad y salud en el trabajo SG-SST.</t>
  </si>
  <si>
    <t xml:space="preserve">Decreto. 1076 </t>
  </si>
  <si>
    <t xml:space="preserve">plazo pesv 2015  dec 1906 </t>
  </si>
  <si>
    <t>ARTÍCULO 2.3.2.3.2. Diseño, implementación y verificación.</t>
  </si>
  <si>
    <t xml:space="preserve">Implementación PESV 
</t>
  </si>
  <si>
    <t xml:space="preserve">res 2273 plan nal vial  hasta 2021 </t>
  </si>
  <si>
    <t xml:space="preserve">Sección I y Sección II . Parte A y B </t>
  </si>
  <si>
    <t>La empresa ha aplicado mecanismos de prevención - control y gestión de la salud en relación a las Enfermedades por factores psicosociales? 
En los cuales ha tenido en cuenta las deficiencias : 
5.1. Trastornos de ansiedad (F41)
5.2. Episodios depresivos (F32)
5.3. Trastorno adaptativo (F43)</t>
  </si>
  <si>
    <t xml:space="preserve"> Enfermedades por agentes biológicos </t>
  </si>
  <si>
    <t xml:space="preserve">Artículos 1- 13 </t>
  </si>
  <si>
    <t xml:space="preserve">Siniestralidad vial 
 Seguridad en el transporte público terrestre automotor </t>
  </si>
  <si>
    <t xml:space="preserve">res 2674 - 13 alimentos </t>
  </si>
  <si>
    <t xml:space="preserve">res 315 repetida </t>
  </si>
  <si>
    <t xml:space="preserve">Artículos 1- 10 </t>
  </si>
  <si>
    <t xml:space="preserve">res 2291 plazo establecido de res 2009 </t>
  </si>
  <si>
    <t>Siniestralidad vial 
que modificó  la ley 769 de 2002 Código nacional de tránsito</t>
  </si>
  <si>
    <t>Artículos 4,5,11,13,15,19,21</t>
  </si>
  <si>
    <t>Por la cual se modifica parcialmente la Resolución 003673 de 2008 y se dictan otras disposiciones.</t>
  </si>
  <si>
    <t xml:space="preserve">Artículos 1- 4   </t>
  </si>
  <si>
    <t xml:space="preserve">Toda la Circular Puntos 1- 8 </t>
  </si>
  <si>
    <t>Procedimientos e instrucciones para trabajo en alturas.</t>
  </si>
  <si>
    <t>Por medio de la cual se adoptan medidas para prevenir, corregir y sancionar el acoso laboral y otros hostigamientos en el marco de las relaciones de trabajo.</t>
  </si>
  <si>
    <t>Parte I- V</t>
  </si>
  <si>
    <t xml:space="preserve">Artículos 1- 32 </t>
  </si>
  <si>
    <t xml:space="preserve">Por la cual se dictan normas y se establecen  Procedimientos relacionados con el funcionamiento y operación  De equipos de rayos X y otros emisores de radiaciones ionizantes  Y se dictan otras disposiciones. </t>
  </si>
  <si>
    <t xml:space="preserve">Artículos 1- 19 </t>
  </si>
  <si>
    <t xml:space="preserve">Por la cual se reglamenta la organización y funcionamiento de los Comités de Medicina, Higiene y Seguridad Industrial en los lugares de trabajo
</t>
  </si>
  <si>
    <t xml:space="preserve">Artículos 1- 63 </t>
  </si>
  <si>
    <t xml:space="preserve">
Por la cual se dictan normas sobre Protección y conservación de la Audición de la Salud y el bienestar de las personas, por causa de la producción y emisión de ruidos.</t>
  </si>
  <si>
    <r>
      <t>De las instalaciones industriales operaciones y procesos
Capítulo I.
De los generadores de vapor                Artículos   448- 499   ( artículos 500- 504 derogados)</t>
    </r>
    <r>
      <rPr>
        <sz val="11"/>
        <rFont val="Calibri"/>
        <family val="2"/>
        <scheme val="minor"/>
      </rPr>
      <t xml:space="preserve"> </t>
    </r>
  </si>
  <si>
    <t xml:space="preserve">Resolución 40122  </t>
  </si>
  <si>
    <t xml:space="preserve">Artículos 1- 45 </t>
  </si>
  <si>
    <t xml:space="preserve">Artículos 1- 9 </t>
  </si>
  <si>
    <t>Objeto reglamentar el diseño, organización y construcción de los contenidos y funcionamiento de los programas de formación, capacitación y entrenamiento que deben ser aplicadas a las brigadas contra incendios, en los sectores energético, industrial, minero, petrolero, portuario, eléctrico, hidroeléctrico, comercial y similares.</t>
  </si>
  <si>
    <t xml:space="preserve">Artículo 57. Numerales 1- 17 .  Articulos 348 y 349 </t>
  </si>
  <si>
    <t xml:space="preserve">  
1. Verificar que la empresa suministre a todos los trabajadores los instrumentos, herramientas y materias primas adecuadas para realizar sus labores, garantizando que estén en buen estado, sean seguros y cumplan con las normas técnicas aplicables para la industria cementera.
2. Confirmar que la empresa entrega y repone de manera documentada los elementos de protección personal necesarios según los riesgos propios de la operación (polvo de cemento, maquinaria pesada, alturas, ruido, vibración, calor, química) y que existen controles y capacitaciones para su uso adecuado.
3. Comprobar que se cuente con un sistema de primeros auxilios disponible e inmediato, dotación completa, registro de inventarios, capacitación del personal y presencia de brigadistas en plantas, tal como exige la autoridad sanitaria para empresas con más de diez trabajadores.
4. Validar que los salarios se paguen oportunamente conforme a contratos, convenciones colectivas o turnos especiales propios del sector industrial.
5. Evaluar que existan políticas, protocolos y acciones que garanticen el respeto por la dignidad, creencias, privacidad y buen trato del trabajador, incluyendo medidas de prevención del acoso laboral.
6. Revisar que se otorguen las licencias remuneradas previstas por la ley (sufragio, cargos oficiales, calamidad doméstica, comisiones sindicales, atención de citas médicas, funciones como acudiente, citaciones judiciales y día de la bicicleta) y que exista un procedimiento claro para su solicitud, verificación y registro.
7. Verificar que, al finalizar el contrato, se expida al trabajador la certificación laboral que incluya funciones, tiempo de servicio y salario, así como que se realicen los exámenes médicos de egreso cuando corresponda, documentando los casos en los que el trabajador no acude dentro del tiempo establecido.
8. Revisar que la empresa cubra los gastos razonables de traslado cuando el trabajador cambia de residencia para prestar servicios, incluyendo el traslado de familiares cuando aplique, salvo las excepciones permitidas por la ley.
9. Confirmar que la empresa cumple el reglamento interno de trabajo, mantiene un ambiente de orden, moralidad y respeto a las leyes, y reporta las actualizaciones normativas cuando corresponda.
10. Validar que se otorgue la licencia remunerada por luto de cinco días hábiles según los grados de parentesco establecidos, incluyendo los casos de padres, madres e hijos de crianza, y que se soliciten los documentos requeridos dentro de los plazos legales.
11. Comprobar que se otorguen las licencias de maternidad conforme al artículo 236 del CST, garantizando el inicio obligatorio una o dos semanas antes del parto según decisión de la trabajadora y certificación médica.
12. Revisar que se otorgue la licencia de diez días hábiles por cuidado de la niñez a los padres o cuidadores de menores con enfermedad terminal, cuadro clínico severo o necesidad de cuidados paliativos, y que exista un procedimiento para verificar la documentación clínica.
13. Evaluar la implementación de ajustes razonables para trabajadores con discapacidad, verificando la eliminación de barreras físicas, comunicativas y actitudinales, y la adecuación del puesto de trabajo según el diagnóstico, con evidencia documental por cada caso.
14. Confirmar que la empresa ejecuta las acciones orientadas por la Unidad del Servicio Público de Empleo para eliminar barreras de acceso o permanencia laboral, especialmente para grupos vulnerables (mujeres, jóvenes, migrantes, víctimas, PDET, ZOMAC), dentro del plazo de doce meses.
15. Verificar que la empresa atiende con diligencia las órdenes provenientes de autoridades competentes relacionadas con personas víctimas de violencias basadas en sexo, y que existan protocolos de atención, confidencialidad y seguridad.
16. Validar que se otorgue el derecho preferente de reubicación a mujeres víctimas de violencia de pareja o intrafamiliar y a otras personas víctimas, sin desmejorar sus condiciones laborales, y que existan rutas de protección y registro documentado de los casos.
17. Verificar que la empresa cumpla con el porcentaje mínimo de contratación de personas con discapacidad (dos por cada 100 trabajadores hasta 500; una adicional por cada tramo de 100 desde 501), que reporte dichos contratos al Ministerio del Trabajo dentro de los quince días y que gestione los ajustes razonables necesarios.
18.  Se cuenta con  Evidencia: inspecciones, certificados, mantenimientos, fichas de equipos, reportes de mejoras , sobre los siguientes items relacionados con la Higiene y seguridad en el trabajo ( artículos 348- 349 ) 
- Los puestos de trabajo cuentan con medidas de seguridad física, ergonómica e industrial.
- Se han implementado medidas de higiene industrial según los riesgos (ruido, polvo, sustancias químicas, iluminación, etc.).
- Mediciones higiénicas, mapas de riesgo, controles.
- El reglamento está aprobado, divulgado y accesible para los trabajadores.
-  El contenido del reglamento corresponde a los riesgos y procesos reales de la empresa.
</t>
  </si>
  <si>
    <t xml:space="preserve">1 fila repetida cod sus trabajo art 57 </t>
  </si>
  <si>
    <t xml:space="preserve">Artículos   63-69 Temperatura </t>
  </si>
  <si>
    <t xml:space="preserve">
1. ¿El lugar de trabajo dispone de una iluminación adecuada y suficiente, natural, artificial o combinada, según la clase de labor realizada, y existe documentación como mediciones de iluminación en lux, planos del sistema lumínico, inventario de luminarias y registros de mantenimiento que permitan verificar que las condiciones garantizan seguridad para el personal?
2. ¿Las superficies destinadas a iluminación natural, como ventanas, tragaluces, claraboyas o lumbreras, son proporcionales al tamaño del local y a la naturaleza de la tarea ejecutada, y se cuenta con evidencia como planos arquitectónicos, fotografías, inspecciones o informes técnicos que demuestran que la iluminación natural es complementada con luz artificial cuando es insuficiente?
3. Cuando la iluminación es artificial, ¿está instalada de manera que no produzca deslumbramientos, reflexión del foco luminoso en las superficies de trabajo ni emisión de calor o sustancias que deterioren la atmósfera del local, respaldándose esta verificación con mediciones, fichas técnicas de luminarias, inspecciones, reportes de riesgos y registros de mantenimiento?
4. ¿El número de luminarias, su intensidad y distribución corresponden a la altura, superficie del local y tipo de labor ejecutada, y se cuenta con mediciones de lux, diseños lumínicos, cálculos técnicos o fichas del sistema de iluminación que demuestren dicha proporcionalidad?
5. ¿Se tienen instalados dispositivos como vidrios difusores, filtros o mecanismos de control que eviten molestias a los trabajadores por iluminación solar directa, respaldado con inspecciones, fotografías o registros de adecuación?
6. ¿La iluminación suplementaria instalada en máquinas, equipos o zonas de trabajo cuenta con pantallas o protecciones que eviten contrastes bruscos de luz y sombra, según se evidencia en inspecciones, fotografías y fichas técnicas?
7. ¿Los lugares de trabajo con mayor riesgo de accidente, especialmente donde se utilizan prensas, troqueladoras, cizallas, trituradoras, inyectores, extrusoras o sierras, cuentan con iluminación suficiente conforme a su nivel de peligrosidad, y existen mediciones de lux, análisis de riesgos o formatos de inspección que lo demuestran?
8. ¿Los niveles de intensidad lumínica cumplen con los rangos mínimos establecidos en lux para cada tipo de tarea (extremadamente finas, finas, moderadas, ocasionales, almacenamiento, garajes, cuartos de cambio, oficina, corredores y sanitarios) y se dispone de mediciones instrumentadas, informes de higiene industrial o registros técnicos que certifiquen el cumplimiento?
9. ¿Las ventanas, tragaluces, claraboyas, lumbreras, pantallas y lámparas fluorescentes se mantienen limpias y sin obstrucciones, y esto se evidencia mediante registros de limpieza, inspecciones periódicas, programas de mantenimiento y fotografías?
10. ¿La iluminación natural está distribuida de forma uniforme en los lugares de trabajo y se cuenta con dispositivos anti deslumbramiento cuando es necesario, soportado mediante planos, fotografías e informes de auditoría o inspección?
11. ¿La iluminación artificial general es uniforme y no genera sombras intensas, contrastes violentos ni deslumbramientos, y existen mediciones de uniformidad, fichas técnicas de luminarias y cálculos de distribución lumínica que lo demuestren?
12. ¿La relación entre la iluminación mínima y máxima en el área de trabajo es igual o superior a 0.8 para garantizar uniformidad, con documentación de mediciones en lux y reportes de higiene industrial que comprueben dicho parámetro?
13. Cuando se requiere iluminación intensa para un trabajo específico, ¿la empresa combina iluminación general con iluminación local complementaria instalada según las necesidades de la tarea, con soporte en análisis de puesto de trabajo, mediciones y fichas técnicas?
14. ¿Los establecimientos donde se realizan labores nocturnas o donde no existe iluminación natural cuentan con un sistema de iluminación de emergencia en escaleras y salidas auxiliares, con evidencia de pruebas de funcionamiento, inventarios, planos de emergencia y registros de mantenimiento?
15. ¿Se tiene en cuenta la calidad y cantidad de iluminación requerida para cada tipo de trabajo, en cuanto a distribución espectral, brillos, contrastes, color, tamaño del objeto, tiempo de observación, y existe evidencia en estudios ergonómicos, mediciones técnicas y evaluaciones de confort visual?
16. ¿Los niveles de intensidad, los contrastes, los brillos y la reducción de destellos o resplandores se mantienen dentro de los límites necesarios para prevenir efectos adversos en los trabajadores y asegurar condiciones ambientales adecuadas, según consta en informes de iluminación, inspecciones y mediciones?
17. ¿En los locales de trabajo que utilizan lámparas fluorescentes se han implementado medidas que eliminen el efecto estroboscópico, sustentado con fichas técnicas, informes técnicos o revisiones del sistema de iluminación?</t>
  </si>
  <si>
    <t xml:space="preserve">Artículo 17 al 28. Servicios de Higiene.  </t>
  </si>
  <si>
    <t xml:space="preserve"> ¿La empresa ha identificado los requisitos específicos de la  Resolución 2400/79 Artículos 205 a 234 Medidas de prevención y extinción de incendios, que aplican a su actividad económica  y  dispone de procedimientos, instructivos o formatos que permitan cumplir con las exigencias técnicas y administrativas de la norma?  y  existen registros (informes, actas, listados, certificados, reportes en plataformas) que evidencien su cumplimiento de acuerdo a los siguientes criterios de evaluación? 
1. ¿El establecimiento ha identificado formalmente los procesos, áreas y materiales con peligro de incendio o explosión?
2. ¿El establecimiento dispone de tomas de agua, mangueras, depósitos de reserva o extinguidores suficientes y adecuados al riesgo identificado?
3. ¿Existe personal entrenado formalmente para la extinción inicial de incendios y se evidencia formación periódica?
4. ¿Las construcciones de áreas con riesgo de incendio están hechas con materiales incombustibles y cuentan con muros cortafuego?
5. ¿Las áreas con fibras combustibles o vapores inflamables disponen de tuberías de agua a presión en cielorraso con válvulas sensibles al calor?
6. ¿Las secciones de mayor riesgo están aisladas mediante puertas metálicas resistentes al fuego con mecanismos automáticos?
7. ¿Las salidas de emergencia existen en número suficiente, están bien distribuidas y diseñadas según la norma?
8. ¿Las puertas y ventanas de emergencias abren hacia el exterior y permanecen libres de obstáculos?
9. ¿Las materias primas inflamables se almacenan en depósitos incombustibles fuera de las áreas de trabajo cuando es posible?
10. ¿Las cantidades de materiales inflamables dentro del área de trabajo son las estrictamente necesarias?
11. ¿Los depósitos de sustancias explosivas o inflamables están ubicados a nivel del suelo, en áreas especiales a prueba de fuego y no bajo zonas de trabajo o habitaciones?
12. ¿Las sustancias inflamables en uso están en compartimientos aislados?
13. ¿Los materiales impregnados con aceite, grasa u otras sustancias combustibles se disponen en recipientes incombustibles con cierre hermético?
14. ¿En los locales con inflamables se prohíbe fumar, generar chispas o usar dispositivos de fuego?
15. ¿El almacenamiento de líquidos inflamables en grandes cantidades se realiza en edificios aislados o tanques subterráneos a distancia prudente de edificaciones?
16. ¿La distribución de líquidos inflamables se realiza mediante tuberías seguras y certificadas?
17. ¿Se han implementado medidas para evitar escapes de líquidos inflamables hacia sótanos, sumideros o desagües?
18. ¿Se controla la formación de vapores inflamables o mezclas explosivas mediante ventilación adecuada?
19. ¿Las sustancias químicas reactivas o incompatibles se almacenan separadas según tabla de incompatibilidades químicas?
20. ¿Las sustancias con reactividad específica (oxidantes, reductoras, explosivas, etc.) se almacenan conforme a las separaciones obligatorias listadas en la norma?
21. ¿Las sustancias que reaccionan con agua o aire tienen métodos de almacenamiento y manipulación especiales para evitar contacto?
22. ¿Todos los recipientes de sustancias peligrosas están rotulados conforme a riesgo, precauciones y primeros auxilios?
23. ¿Se evita almacenar líquidos inflamables en locales donde se congrega gran número de personas?
24. ¿Las lámparas, linternas y extensiones eléctricas en áreas con inflamables son a prueba de explosión?
25. ¿Los locales sobre sótanos o fosos donde haya inflamables cuentan con ventilación suficiente?
26. ¿En tiendas o almacenes que venden productos inflamables se mantienen latas en buen estado y adecuadamente almacenadas?
27. ¿Los pasillos, patios y zonas de almacenamiento están libres de basuras o elementos que puedan encenderse con facilidad?
28. ¿Se previene la posibilidad de incendios por efecto de rayos solares sobre vidrios, lupas o espejos?
29. ¿El establecimiento cuenta con extinguidores adecuados al tipo de materiales presentes y al nivel de riesgo?
30. ¿Los extinguidores se revisan como mínimo una vez al año y existe registro documental?
31. ¿El número de extinguidores cumple la regla mínima de uno por cada 200 m² o fracción?
32. ¿Los extinguidores están ubicados cerca de los lugares de mayor riesgo y libres de obstáculos?
33. ¿El personal ha sido instruido en el uso correcto del tipo de extintor adecuado a cada clase de fuego?
34. ¿Las áreas con riesgo cuentan con tomas o bocas de agua y mangueras con presión suficiente para combatir incendios iniciales?
35. ¿En zonas donde sea posible, existen instalaciones de rociadores automáticos (sprinklers)?
36. ¿Hay disponibilidad de recipientes con arena, palas, picos y lonas ignífugas para uso inmediato?
37. ¿Los equipos contra incendio se mantienen en perfecto estado de funcionamiento y existe evidencia de su mantenimiento?
38. ¿El personal ha sido entrenado en métodos de salvamento y actuación en incendios?
39. ¿El establecimiento tiene conformada una Brigada de Incendios con personal voluntario entrenado?
40. ¿La ubicación de equipos de extinción está debidamente señalizada con color rojo reglamentario?
41. **Para incendios de grasas, líquidos o pinturas inflamables:** ¿se usan extintores de espuma, CO₂ o PQS evitando el uso de agua?
42. **Para incendios eléctricos:** ¿se usan extintores no conductores como CO₂ o PQS exclusivamente?
43. **Para incendios de magnesio o aluminio:** ¿se dispone de arena seca o polvo inerte y se evita el uso de agua?
44. ¿El personal conoce los riesgos del tetracloruro de carbono, cloruro de metilo y posibles reacciones químicas con extintores?
45. ¿Los hidrantes están accesibles, protegidos contra daños y libres de obstáculos?
46. ¿Las tuberías e hidrantes se desaguan regularmente para eliminar sedimentos?
47. ¿El agua no se utiliza en incendios de líquidos inflamables, polvos orgánicos, aluminio, magnesio o sustancias que liberen gases inflamables?
48. ¿Los sistemas de alarma cumplen con enviar señales confiables, claras y hacia personal capacitado?
49. ¿Las alarmas indican el lugar exacto del incendio y son fácilmente accesibles para activación sin errores?
50. ¿Las alarmas son lo suficientemente fuertes para advertir a los ocupantes del edificio?
51. ¿El establecimiento cuenta con sistemas manuales y automáticos de alarma cuando el riesgo lo requiere?
52. ¿Los detectores automáticos son sensibles al calor, humo o fuego según corresponda?
53. ¿Los rociadores automáticos están bien distribuidos, libres de obstrucciones y en buen estado?
54. ¿La presión del agua para rociadores es igual o superior a 8 psi?
55. ¿Se evita la acumulación de materiales cerca de rociadores para garantizar su funcionamiento?
56. ¿Cada piso del edificio cuenta con al menos dos salidas amplias, separadas y protegidas contra humo y llamas?
57. ¿Las escaleras utilizadas como rutas de escape NO son de madera, caracol, ascensores ni escaleras de mano?
58. ¿Las salidas de emergencia están marcadas, iluminadas y libres de obstrucciones?
59. ¿Las escaleras exteriores o rutas de escape no desembocan en patios internos o pasajes sin salida?
60. ¿La distancia máxima entre cualquier punto del establecimiento y una salida cumple parámetros según el grado de riesgo?
</t>
  </si>
  <si>
    <t xml:space="preserve">Artículos 121- 152 Electricidad alterna, continua y estática </t>
  </si>
  <si>
    <t xml:space="preserve">Art. 371   a 387 Herramientas de fuerza motriz </t>
  </si>
  <si>
    <t xml:space="preserve">Art ículos 7, 79- 87. Iluminación </t>
  </si>
  <si>
    <t xml:space="preserve">Artículos  205  a 234 Prevención y extinción de incendios </t>
  </si>
  <si>
    <t>Artículo 2 Obligaciones de los patronos</t>
  </si>
  <si>
    <t>1. La empresa puede demostrar que da cumplimiento , cuenta con evidencia sobre el cumplimiento de sus obligaciones de acuerdo a lo establecido en la presente Resolución como son los siguientes?   
- Proveer y mantener el medio ambiente ocupacional en adecuadas condiciones de higiene y seguridad, de acuerdo a las normas establecidas en la presente Resolución.
-  Establecer un servicio médico permanente de medicina industrial, en aquellos establecimientos que presenten mayores riesgos de accidentes y enfermedades profesionales, a juicio de los encargados de la salud Ocupacional del Ministerio, debidamente organizado para practicar a todo su personal los exámenes psicofísicos, exámenes periódicos y asesoría médico laboral y los que se requieran de acuerdo a las circunstancias; además llevar una completa estadística médico social.
- Organizar y desarrollar programas permanentes de Medicina preventiva, de Higiene y Seguridad Industrial y crear los Comités paritarios (patronos y trabajadores) de Higiene y Seguridad que se reunirán periódicamente, levantando las Actas respectivas a disposición de la Di visión de Salud Ocupacional.
- El Comité de Higiene y Seguridad deberá intervenir en la elaboración del Reglamento de Higiene y Seguridad, o en su defecto un representante de la Empresa y otro de los trabajadores en donde no exista sindicato.
- Aplicar y mantener en forma eficiente los sistemas de control necesarios para protección de los trabajadores y de la colectividad contra los riesgos profesionales y condiciones o contaminantes ambientales originados en las operaciones y procesos de trabajo.
- Suministrar instrucción adecuada a los trabajadores antes de que se inicie cualquier ocupación, sobre los riesgos y peligros que puedan afectarles, y sobre la forma, métodos y sistemas que deban observarse para prevenirlos o evitarlos.</t>
  </si>
  <si>
    <t>1. ¿La empresa ha identificado los requisitos específicos de Resolución 2013/86 Los Artículos del 1 al 18 son aplicables en todos nuestros negocios, estos establecen todo lo relacionado con la conformación y funcionamiento del  COPASST. que aplica a su actividad económica y tamaño?
2. ¿Se dispone de procedimientos, instructivos o formatos que permitan cumplir con las exigencias técnicas y administrativas de Resolución 2013/86 Los Artículos del 1 al 18 son aplicables en todos nuestros negocios, estos establecen todo lo relacionado con la conformación y funcionamiento deL COPASST.?
3. ¿Existen registros (informes, actas, listados, certificados, reportes en plataformas) que evidencien el cumplimiento de Resolución 2013/86 Los Artículos del 1 al 18 son aplicables en todos nuestros negocios, estos establecen todo lo relacionado con la conformación y funcionamiento del COPASST.?
4. ¿Los responsables del SG-SST realizan seguimiento periódico a los ítems de Resolución 2013/86 Los Artículos del 1 al 18 son aplicables en todos nuestros negocios, estos establecen todo lo relacionado con la conformación y funcionamiento del COPASST. incluidos en la matriz legal y documentan los resultados?
5. ¿Se han comunicado los requisitos de Resolución 2013/86 Los Artículos del 1 al 18 son aplicables en todos nuestros negocios, estos establecen todo lo relacionado con la conformación y funcionamiento del COPASST. a los trabajadores, contratistas y proveedores que se ven impactados por esta norma?
6. ¿Las no conformidades asociadas al cumplimiento de Resolución 2013/86 Los Artículos del 1 al 18 son aplicables en todos nuestros negocios, estos establecen todo lo relacionado con la conformación y funcionamiento del COPASST. generan acciones correctivas o de mejora con responsables y fechas definidas?</t>
  </si>
  <si>
    <t>1. ¿La empresa ha identificado y documentado en la matriz legal las obligaciones derivadas de Ley 82/1988 Readaptación profesional y empleo de personas con discapacidad y su relación con el SG-SST?
2. ¿Las políticas, procedimientos y programas del SG-SST incorporan de forma explícita los lineamientos establecidos en Ley 82/1988 Readaptación profesional y empleo de personas con discapacidad?
3. ¿Existe evidencia documental (actas, comunicaciones, registros, contratos, entre otros) que demuestre la aplicación de Ley 82/1988 Readaptación profesional y empleo de personas inválidas en la organización?
4. ¿Se ha socializado con trabajadores, líderes y responsables del SG-SST el contenido y alcance de Ley 82/1988 Readaptación profesional y empleo de personas con discapacidad y sus implicaciones en seguridad y salud en el trabajo?
5. ¿Se realiza seguimiento periódico al cumplimiento de Ley 82/1988 Readaptación profesional y empleo de personas con discapacidad, dejando soportes de las revisiones y acciones de mejora cuando se identifican brechas?
6. ¿Los cambios o reformas a Ley 82/1988 Readaptación profesional y empleo de personas con discapacidad se registran oportunamente en la matriz legal y se comunican a los procesos impactados?</t>
  </si>
  <si>
    <t>Aprobación del Convenio 159 de la OIT sobre readaptación profesional de personas con discapacidad</t>
  </si>
  <si>
    <t xml:space="preserve">Artículo 1. Valores límites permisibles para el ruido </t>
  </si>
  <si>
    <t xml:space="preserve">La empresa cuenta con evidencias de aplicación y cumplimiento de la Resolución 1792  dando cuenta de lo siguiente ?    1. ¿La empresa ha identificado todos los puestos y tareas donde los trabajadores están expuestos a ruido continuo o intermitente?
2. ¿Las mediciones de exposición a ruido se realizan con equipos calibrados y siguiendo métodos estandarizados establecidos por la normatividad vigente?
3. ¿Las mediciones incluyen la duración real de la jornada y las variaciones de exposición durante el turno?
4. ¿Los niveles de exposición registrados para jornadas de ocho horas no superan los 85 dBA?
5. ¿Los trabajadores expuestos durante cuatro horas cumplen con el límite máximo permisible de 90 dBA?
6. ¿Las exposiciones de dos horas están dentro del límite máximo de 95 dBA?
7. ¿Las exposiciones de una hora cumplen el límite máximo de 100 dBA?
8. ¿Las exposiciones de media hora se encuentran dentro del límite permitido de 105 dBA?
9. ¿Las exposiciones de un cuarto de hora no superan los 110 dBA?
10. ¿Las exposiciones de un octavo de hora no superan los 115 dBA?
11. ¿La empresa garantiza que la jornada máxima de exposición no excede ocho horas, según lo establecido en la normativa?
12. ¿Se evalúa específicamente si el ruido es continuo o intermitente para aplicar correctamente los límites permisibles?
13. ¿Se implementan controles de ingeniería cuando la exposición supera los límites permisibles (encapsulamiento de máquinas, barreras acústicas, mantenimiento, aislamiento, reducción de velocidad, etc.)?
14. ¿Se aplican controles administrativos como rotación de personal, programación de tiempos de exposición o reducción del tiempo en zonas ruidosas?
15. ¿La empresa entrega protectores auditivos adecuados al tipo de ruido y con atenuación suficiente para garantizar que el nivel efectivo quede por debajo del límite permisible?
16. ¿Los protectores auditivos cuentan con certificación, están en buen estado y su vida útil es verificada periódicamente?
17. ¿El personal recibe capacitación específica sobre el riesgo por ruido, sus efectos en la salud y el uso correcto de protectores auditivos?
18. ¿Los trabajadores expuestos participan en un programa de conservación auditiva estructurado, que incluya educación, vigilancia y seguimiento?
19. ¿Se realizan audiometrías de ingreso, periódicas y de retiro a todos los trabajadores expuestos a niveles iguales o superiores a 85 dBA?
20. ¿Se investigan y documentan los casos de pérdida auditiva inducida por ruido (PAIR) detectados en la vigilancia epidemiológica?
21. ¿La empresa analiza las tendencias de PAIR como parte del sistema de vigilancia epidemiológica ocupacional?
22. ¿El empleador documenta todas las acciones correctivas cuando se detectan niveles que superan los límites permisibles?
23. ¿Los resultados de las mediciones de ruido se comunican formalmente a los trabajadores expuestos?
24. ¿Se señalizan las zonas de alto ruido, indicando la obligatoriedad de protección auditiva?
25. ¿La empresa revisa la efectividad de los controles implementados mediante nuevas mediciones posteriores a las intervenciones?
26. ¿La empresa conserva los registros históricos de mediciones, calibración de instrumentos, entrega de EPP, capacitaciones y exámenes médicos relacionados con exposición a ruido?
27. ¿Existe un responsable designado para coordinar y mantener el programa de conservación auditiva?
28. ¿El programa de conservación auditiva hace parte del SG-SST y está articulado con la matriz de peligros, el plan de capacitación y el sistema de vigilancia epidemiológica?
</t>
  </si>
  <si>
    <t>CUMPLIMIENTO 2025</t>
  </si>
  <si>
    <t>CUMPLIMIENTO 2026</t>
  </si>
  <si>
    <t>1. La empresa tiene en cuenta que : Todos los trabajadores y trabajadoras son iguales ante la ley, tienen la misma protección y garantías, en consecuencia y por esto la empresa ha  abolido cualquier tipo de distinción por razón del carácter intelectual o material de la labor, su forma o retribución, el género o sexo salvo las excepciones establecidas por la ley?</t>
  </si>
  <si>
    <r>
      <t xml:space="preserve">1. De acuerdo al artículo 150 : </t>
    </r>
    <r>
      <rPr>
        <i/>
        <sz val="11"/>
        <color theme="1"/>
        <rFont val="Calibri"/>
        <family val="2"/>
        <scheme val="minor"/>
      </rPr>
      <t>Para el desarrollo de cualquier actividad que signifique manejo o tenencia de fuentes de radiaciones ionizantes deberán adoptarse por parte de los empleadores, poseedores o usuarios,</t>
    </r>
    <r>
      <rPr>
        <b/>
        <i/>
        <sz val="11"/>
        <color theme="1"/>
        <rFont val="Calibri"/>
        <family val="2"/>
        <scheme val="minor"/>
      </rPr>
      <t xml:space="preserve"> todas las medidas necesaria</t>
    </r>
    <r>
      <rPr>
        <i/>
        <sz val="11"/>
        <color theme="1"/>
        <rFont val="Calibri"/>
        <family val="2"/>
        <scheme val="minor"/>
      </rPr>
      <t>s para garantizar la protección de la salud y la seguridad de las personas directa o indirectamente expuestas y de la población en general.  SE DEBE CONTAR CON LOS SIGUIENTES CONTROLES :   1</t>
    </r>
    <r>
      <rPr>
        <sz val="11"/>
        <color theme="1"/>
        <rFont val="Calibri"/>
        <family val="2"/>
        <scheme val="minor"/>
      </rPr>
      <t xml:space="preserve">. La empresa mantiene control técnico y administrativo sobre las fuentes generadoras de radiación ionizante y no ionizante presentes en sus operaciones, especialmente en equipos de laboratorio, instrumentación industrial y dispositivos de medición utilizados en plantas de producción.
2. Se verifica que los equipos que emiten radiación, como medidores de densidad, humedad o caudal por isotopos, se encuentren autorizados, calibrados y con mantenimiento preventivo vigente conforme a requisitos de protección radiológica.
3.La empresa dispone de procedimientos escritos para el manejo, almacenamiento, transporte interno y operación segura de equipos con fuentes radiactivas, así como para la respuesta en caso de incidentes o pérdida de integridad del equipo.
5. Los niveles de exposición ocupacional a radiación ionizante son monitoreados y se mantienen dentro de los límites permitidos, utilizando dosimetría cuando aplique y registros confiables de mediciones ambientales.
6. Las áreas donde se encuentran equipos con fuentes de radiación están claramente señalizadas, con restricciones de acceso y barreras adecuadas para evitar la exposición involuntaria de personal no autorizado.
7. La empresa asegura que cualquier adquisición, traslado, desinstalación o disposición final de equipos con material radiactivo cumple con la normativa nacional, bajo supervisión de un responsable competente en radiofísica sanitaria.
8. Se garantiza que los proveedores o contratistas que brindan servicios relacionados con equipos radiológicos cuenten con las licencias y autorizaciones oficiales requeridas, asegurando la trazabilidad técnica y legal.
9. Holcim implementa medidas de protección colectivas y personales para evitar exposiciones innecesarias, incluyendo blindajes, limitación del tiempo de exposición y controles de distancia según los principios ALARA. (As Low As Reasonably Achievable).
10. La empresa mantiene registros actualizados sobre inventarios de fuentes radiactivas, hojas de seguridad, mantenimientos, inspecciones y evaluaciones de riesgo radiológico, disponibles para auditoría interna y externa.
</t>
    </r>
  </si>
  <si>
    <t xml:space="preserve">1. La empresa controla, verifica y cumple  las condiciones para la excavación de taludes con corte superior a veinte (20) metros. En cuyo caso se requiere excavar taludes superiores a veinte (20) metros,   lo cual se realiza previo al inicio de las labores 
2. La empresa tiene en cuenta que las distancias mínimas de operación de equipos de perforación de los bordes de los taludes, debe determinarse por la naturaleza y condiciones del terreno, y el ancho de los bancos, debe ser tal que permita con un margen de seguridad, el acceso y movilización de los equipos de cargue y transporte.  Asi mismo se realizan las  Inspecciones a las labores mineras de manera permanente para evitar deslizamientos. </t>
  </si>
  <si>
    <t>1. La empresa garantiza la afiliación oportuna de todos los trabajadores propios y contratistas al Sistema General de Riesgos Laborales, incluyendo actividades de alto riesgo como minería a cielo abierto, operación de hornos, trituración y transporte industrial.  2. Se evidencia que Holcim reporta de manera inmediata los accidentes de trabajo y los incidentes graves a la ARL y a las autoridades competentes, con registros confiables y trazabilidad del análisis.
3. La empresa realiza investigaciones completas de accidentes y enfermedades laborales, documentando causas, controles implementados y seguimiento efectivo para evitar recurrencias.
4. Holcim cumple con la obligación de informar a los trabajadores sobre los riesgos específicos de su actividad, en especial exposición a polvo de sílice, ruido, vibración, trabajo en altura, espacios confinados y tránsito de equipos pesados.
5. Se observa que la empresa implementa programas de prevención y control de riesgos de acuerdo con su actividad industrial, incluyendo vigilancia epidemiológica para ruido, polvo, riesgos ergonómicos, carga física, químicos y factores psicosociales.
6. La empresa proporciona capacitación continua en prevención de riesgos, uso correcto de EPP, procedimientos de trabajo seguro y respuesta ante emergencias, con registros verificables.
7. Holcim garantiza el suministro de EPP adecuado para cada riesgo, con certificación y reposición oportuna, integrándolo a los estándares corporativos de seguridad.
8. La empresa ejecuta evaluaciones periódicas de condiciones de trabajo y salud, integrando higiene industrial, ergonomía y factores de riesgo críticos según su proceso productivo.
9. Se evidencia que los contratistas cumplen con los mismos estándares de seguridad y salud que los trabajadores directos, con controles de ingreso, inducción, supervisión y verificación permanente.
10. La empresa tiene un sistema estructurado de emergencias que cubre planta, mina, talleres, zonas de voladuras (si aplican), almacenamiento de combustibles, hornos y áreas de alto riesgo.
11. Holcim coordina con su ARL la asesoría técnica, capacitaciones y apoyo a la investigación de accidentes y programas de prevención, según lo exige el decreto.
12. La empresa facilita la rehabilitación y reincorporación laboral de trabajadores con secuelas de accidentes o enfermedades de origen laboral, aplicando adaptaciones razonables y puestos transitorios cuando se requiere.
13. La alta dirección demuestra compromiso con las responsabilidades en seguridad y salud exigidas por el Decreto 1295, asignando recursos humanos, económicos y técnicos suficientes para la gestión del riesgo.</t>
  </si>
  <si>
    <t xml:space="preserve">1. La empresa ha dado cumplimiento del presente reglamento debe observar lo dispuesto sobre evaluaciones médico ocupacionales de ingreso, periódicas y de retiro, en concordancia con la legislación vigente? 
2.  Dentro de las medidas de control establecidas en el Sistema de Gestión de la Seguridad y Salud en el Trabajo, la empresa  ha incluído los resultados de las mediciones ambientales y los perfiles de salud de los trabajadores a su cargo evidenciados en los monitoreos biológicos, teniendo en cuenta la priorización de los riesgos del proyecto minero? 
3. La empresa cuenta con registros completos y  al día, sobre la Investigación de incidentes, accidentes de trabajo y enfermedades laborales?                                                                                   4.  En caso de que se presente un incidente, un accidente de trabajo ya sea mortal o no, o una enfermedad laboral,  la empresa ha  realizado  la investigación respectiva, acatando lo dispuesto en la legislación vigente? 
5.  En caso de accidente de trabajo mortal en las actividades mineras a cielo abierto, las labores han quedado suspendidas inmediatamente en el sitio de ocurrencia?   y en los demás sitios que defina la autoridad minera, hasta que se levante la medida por parte de ésta, previa verificación de las acciones correctivas necesarias?                                               6. La empresa  ha designado un equipo investigador del accidente de trabajo mortal,( en caso de que haya ocurrido )  de conformidad con la normatividad vigente; sin perjuicio de que la autoridad minera conforme una comisión de investigación, en la que se incluya un representante del empleador minero y los delegados que ésta considere.  7. La empresa  ha verificado que  el equipo investigador haya elaborado  y presentado el informe técnico de la investigación a la autoridad minera, a la Dirección Territorial del Ministerio del Trabajo correspondiente y a la Administradora de Riesgos Laborales, cuyo contenido mínimo será el establecido en el Artículo 9 de la Resolución 1401 de 2007 del Ministerio de la Protección Social o la norma que lo modifique, adicione o sustituya?  8. La empresa tiene conocimiento que cuando la autoridad minera realice la investigación de un accidente mortal, debe realizar el seguimiento a las medidas de seguridad impuestas y contenidas dentro del informe de investigación, el cual debe ser notificado al responsable de la aplicación y cumplimiento del presente reglamento, dentro de los cinco (5) días siguientes a la expedición de este.  9.  La autoridad minera con base en las investigaciones realizadas debe publicar las causas que dieron origen a los accidentes mortales y las lecciones aprendidas, con el objeto de prevenir la ocurrencia de accidentes mineros por causas similares y mitigar su impacto en el sector minero.  </t>
  </si>
  <si>
    <t xml:space="preserve">1. La empresa ha dado cumplimiento y cuenta con la evidencia documental sobre el Sistema de Gestión de la Seguridad y Salud en el Trabajo en los proyectos mineros a cielo abierto? . 2.  El responsable de debe identificar los peligros y evaluar los riesgos de acuerdo con la normatividad que rija la materia.  
3.  Con base en la identificación de los peligros, la empresa ha realizado el monitoreo de estos, mínimo una (1) vez al año, lo cual debe ser registrado y documentado.                    4. Se cuenta con las evaluaciones médicas ocupacionales específicas, de acuerdo con los factores de riesgo a que esté expuesto el trabajador y según las condiciones individuales que presente, utilizando como mínimo, los parámetros establecidos  
e índices biológicos de exposición, asimismo, debe contemplar los niveles máximos permisibles de exposición, tomando como referencia la tabla establecida por la Conferencia Americana de Higienistas Industriales Gubernamentales, o los valores límites permisibles fijados por el Ministerio de . Salud y Protección Social, de acuerdo a lo establecido en la legislación vigente.  
5. La empresa ha realizado la evaluación de los riesgos, por lo menos una (1) vez al año, o, cuando se presente alguna de las siguientes circunstancias:  
a) Se presente algún cambio en las condiciones de trabajo, tanto en la organización, como en el uso de nuevas tecnologías, materia prima, equipos o en el acondicionamiento de los lugares donde se desarrolle el proyecto minero;  
b) Se afecte la salud de los trabajadores o se evidencie que los controles periódicos, incluidos los relacionados con la vigilancia de la salud de los trabajadores no son efectivos.
c) Se establezca que las medidas de prevención son insuficientes;  
d) Se produzcan cambios en las condiciones de trabajo.  
6.  Con base en los resultados obtenidos en la evaluación y valoración de los riesgos y el monitoreo de los distintos frentes de trabajo del proyecto de minería a cielo abierto, la empresa ha establecido las medidas necesarias para controlar los agentes físicos y químicos, evitando el riesgo en la salud de los trabajadores a su cargo, adicionalmente, deben contemplar los siguientes aspectos:  
a) Ventilar por medio de aire forzado los espacios cerrados antes de dar inicio a las labores.  
b) Cuando se utilicen equipos que consuman oxígeno, el lugar en donde se realice dicha actividad debe tener suficiente ventilación para la evacuación de los gases residuales.
c) Reducir la concentración de polvos y fibras en su fuente de origen;  
d) Las plantas de beneficio de minerales que emitan contaminantes a la atmósfera deben utilizar sistemas especiales de captación, conducción y filtrado, que eviten la dispersión de gases y partículas en el ambiente, dando cumplimiento a las normas establecidas por la autoridad competente;  
e) Disminuir la cantidad de material particulado en el aire en períodos secos, manteniendo húmedo el sistema vial de la mina, frentes y patios de acopio.
f) Cuando se utilice cianuro alcalino u otras sustancias nocivas que afecten tanto la salud como los recursos hidrobiológicos, debe contar con un plan de contingencia, para la prevención y control de derrames debidamente aprobado por la autoridad competente.
g) Toda planta de beneficio debe disponer de sistemas para neutralizar el cianuro presente en las arenas, antes de que éstas sean extraídas de los tanques o recipientes, donde se efectuó el proceso de cianuración.
h) Todo vertimiento a un cuerpo de agua o suelo debe cumplir con la normatividad ambiental vigente.
i) Cuando se generen residuos peligrosos y no peligrosos, debe cumplir con lo dispuesto en la normatividad ambiental vigente. 
  </t>
  </si>
  <si>
    <t xml:space="preserve">1. ¿El establecimiento cuenta con inodoros, lavamanos, orinales y duchas en proporción de uno por cada quince trabajadores, separados por sexo y dotados de papel higiénico, recipientes, toallas de papel, jabón, desinfectantes y desodorantes, evidenciado mediante planos, listado de dotación sanitaria, registros de mantenimiento y verificación física?
2. ¿Los artefactos sanitarios (inodoros, lavamanos y orinales) están construidos en material impermeable, inoxidable y de superficie lisa, como porcelana, hierro esmaltado, granito o mosaico, comprobado mediante inspección física y fichas técnicas?
3. ¿Cuando existen lavamanos colectivos, cada tramo de 60 centímetros con su grifo corresponde a un lavamanos individual, evidenciado mediante inspección del área y medición física?
4. ¿Los orinales colectivos tienen un desnivel del 5% hacia el desagüe y cada 60 centímetros equivalen a un orinal individual, validado mediante inspección y planos sanitarios?
5. ¿Los orinales están instalados sin apoyo directo sobre muros permeables, y las superficies posteriores y laterales están recubiertas con mosaico, granito o baldosín, evidenciado por verificación física del área sanitaria?
ARTÍCULO 18
6.¿El establecimiento cuenta con duchas de agua fría y caliente para trabajadores expuestos a calor, polvo, suciedad o sustancias tóxicas, irritantes o infecciosas, evidenciado mediante inspección física y listado de trabajadores expuestos?
ARTÍCULO 19
7. ¿Cada inodoro se encuentra en un compartimiento independiente con puerta de cierre automático, y con pisos y paredes hasta 1,20 m en material impermeable y lavable, y cielorrasos con pintura lavable, verificado mediante inspección física?
8.¿Los tabiques entre inodoros tienen una altura mínima de 1,80 m y un espacio de 10 cm desde el piso para facilitar la limpieza, evidenciado mediante medición física?
9.¿Los espacios mínimos de inodoros, orinales y lavamanos cumplen las dimensiones establecidas (inodoro: 80 cm x 120 cm; orinal: 60 cm de ancho; lavamanos: 60 cm), comprobado mediante planos y verificación en sitio?
ARTÍCULO 20
10. ¿Los pisos de los sanitarios cuentan con sumideros en proporción de uno por cada 15 m² y presentan un desnivel mínimo del 1 al 12% hacia el desagüe, evidenciado mediante inspección y planos hidráulicos?
ARTÍCULO 21
11. ¿Los cuartos sanitarios poseen ventilación natural o forzada que garantice mínimo seis cambios de aire por hora, y cuentan con iluminación mínima de 300 lux, validado mediante medición de luxómetro, ficha técnica de ventilación y verificación física?
ARTÍCULO 22
12. ¿Los establecimientos con exposición a polvo, calor, humedad o sustancias tóxicas cuentan con salas adecuadas para cambio de ropa, separadas por sexo, limpias y protegidas contra insectos y roedores, evidenciado mediante inspección física?
13.¿Existen casilleros metálicos individuales para los trabajadores y casilleros dobles para aquellos expuestos a sustancias tóxicas, infecciosas o irritantes, con verificación mediante inventario y observación directa?
14. ¿Los casilleros tienen aberturas de ventilación en la parte superior e inferior para circulación del aire y cuentan con iluminación equivalente a 20 bujías/pie (aprox. 200 lux), evidenciado mediante inspección y mediciones?
ARTÍCULO 23 y 24
15. ¿El establecimiento dispone de agua potable para consumo humano, libre de contaminantes físicos, químicos y biológicos, y cuenta con fuentes o surtidores mecánicos con boquillas inoxidables a 45°, guardas de protección, chorro inclinado que no toca la boquilla y válvula reguladora, evidenciado mediante inspección y fichas técnicas?
16. ¿Cuando se usan vasos individuales, estos están almacenados en estuches limpios y existe un recipiente para vasos usados, evidenciado mediante observación?
17. ¿Se cuenta con un sistema de suministro de agua potable por cada 50 trabajadores y, si se utiliza hielo para enfriar, este no tiene contacto directo con el agua, evidenciado mediante inspección y registros de consumo?                                                ARTÍCULO 25 a 28 – COMEDORES
18. ¿Los comedores y casinos están ubicados fuera de las áreas de trabajo, separados de focos insalubres o molestos, con evidencias mediante planos y verificación física?
19. ¿Los pisos, paredes y techos del comedor son lisos, de fácil limpieza, cuentan con adecuada ventilación, iluminación y anjeos en ventanas, y puertas de cierre automático, evidenciado mediante inspección en sitio?
20. ¿Las cocinas del establecimiento cuentan con campana extractora, ducto, ventilador y sombrerete para evacuación de humos y vapores, y reciben aire de reemplazo suficiente, evidenciado mediante inspección y fichas técnicas?
21. ¿El área de cocina mantiene limpieza permanente, dispone de recipientes cerrados para residuos, conserva alimentos perecederos en neveras o congeladores y usa agua potable para preparación y lavado, comprobado mediante registros de limpieza e inspección física?
</t>
  </si>
  <si>
    <t>Artículo 131. 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El titular o beneficiario del derecho minero o explotador debe señalizar y demarcar:  
1. Artículo 131. 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El acceso a todas aquellas zonas o locales para cuya actividad se requiera la utilización de un equipo o equipos de protección individual;  
2. Artículo 131. 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Las zonas o locales que requieran de personal autorizado para su acceso;  
3. Artículo 131. 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Los centros de trabajo, de tal manera que permita conocer a todos sus trabajadores situaciones de emergencia o instrucciones de protección en su caso;  
4. Artículo 131. 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Equipos de lucha contra incendios, las salidas y recorridos de evacuación y la ubicación de primeros auxilios;  
5. Artículo 131. 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Cualquier otra situación que, como consecuencia de la evaluación de riesgos y las medidas implementadas, o su inexistencia así lo requiera; y  
6.Artículo 131. 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Áreas destinadas para la ubicación de la maquinaria fuera de uso.</t>
  </si>
  <si>
    <t xml:space="preserve">1. La empresa  conoce la legitimidad de la utilización del correo para el envío de información relacionado con las entidades de la Administración Pública ?   quienes deberán facilitar la recepción y envío de documentos, propuestas o solicitudes y sus respectivas respuestas por medio de correo certificado y por correo electrónico. (En ningún caso, se podrán rechazar o inadmitir las solicitudes o informes enviados por personas naturales o jurídicas que se hayan recibido por correo dentro del territorio nacional.)  </t>
  </si>
  <si>
    <t xml:space="preserve">4.  Se han divulgado los riesgos de cada una de las zonas del proyecto minero, a través de un programa de inducción dirigido a los trabajadores. El plano de riesgos debe estar disponible para consulta por parte de las autoridades competentes.  5. Se cuenta con  los registros de los avances y frentes de explotación?  estos  se refieren principalmente al diseño del sistema de explotación que incluye secuencia y cronología de actividades, diseño y control de estabilidad de taludes, ubicación de escombreras, almacenamiento de la capa vegetal, estériles y mineral, control de aguas, vías de acceso y de una manera general, la naturaleza e importancia de las variaciones topográficas que se ejecuten en el área de la mina, de acuerdo con lo establecido en la normatividad vigente para la presentación de planos y mapas aplicados a minería.  6. Se tiene la autorización de los registros y planos de frentes y avances de explotación? los cuales han sido autorizados por un ingeniero de minas, un ingeniero de minas y metalurgia, un ingeniero geólogo o un geólogo, con matrícula profesional. 7. La empresa ha tenido en cuenta que los planos de riesgos y de seguridad minera deben ser firmados por el encargado del Sistema de Gestión de la Seguridad y Salud en el Trabajo, SG-SST, de acuerdo con los parámetros establecidos en el Decreto 1072 de 2015, por el cual se expide el Decreto Único Reglamentario del Sector Trabajo, o aquel que lo modifique, complemente o sustituya ?  </t>
  </si>
  <si>
    <t xml:space="preserve">1. Se ha tenido en cuenta y se cuenta con la evidencia de la contratación , en caso de contar con menores que trabajan las siguientes jornadas :  Entre 12 y 14 años: Máximo 4 horas diarias y 24 horas semanales en trabajos ligeros.  Entre 14 y 16 años: Máximo 6 horas diarias y 36 horas semanales.  Entre 16 y 18 años: Máximo 8 horas diarias y 48 horas semanales.  </t>
  </si>
  <si>
    <t xml:space="preserve">1. Se ha contemplado y se da cumplimiento de las condiciones en las que ciertos estudiantes que trabajan con jornadas flexibles deben estar afiliados a los sistemas de seguridad social, incluyendo el de riesgos profesionales? </t>
  </si>
  <si>
    <t>1. La empresa ha aplicado mecanismos de prevención - control y gestión de la salud en relación a las Enfermedades por agentes biológicos?  
(Para Holcim aplican solo si hay manejo de aguas, residuos o material orgánico)
Leptospirosis (A27)
Tétanos (A33–A35)
Infecciones de piel por bacterias (L08)</t>
  </si>
  <si>
    <t>1. La empresa ha aplicado mecanismos de prevención - control y gestión de la salud en relación a las Enfermedades por agentes químicos?  listadas a continuación :  
2.a Silicosis / Neumoconiosis por sílice cristalina (J62.0 – J62.8) – Código 0201
La más crítica en una cementera.
Exposición en molienda, triturado, transporte y envasado de materia prima.
2.b Asma ocupacional por exposición a polvos minerales y cemento (J45.0 – J45.1)
Polvo de Clinker, caliza, yeso, aditivos.
2.c Dermatitis de contacto por irritantes químicos (L23 – L24 – L25)
Cemento húmedo, aditivos, grasas, solventes.
2.d Conjuntivitis irritativa ocupacional (H10.1)
Polvo suspendido en operaciones de empaque, tolvas, bandas.</t>
  </si>
  <si>
    <t>1. La empresa cuenta con un plan de prevención , control , gestión de la salud sobre los : Trastornos osteomusculares por esfuerzo físico o repetitivo incluídos en la norma de la siguiente manera: 
(Decreto 1477 – Grupo 2)
Dorsopatías (M50–M54)
Lumbago ocupacional (M54.5)
Trastornos de discos intervertebrales por vibración y cargas (M51)
Tendinitis del manguito rotador (M75.1)
Tendinitis bicipital (M75.2)
Epicondilitis lateral/medial (M77.1–M77.0)
Tenosinovitis de De Quervain (M65.4)
Aplica por manipulación de cargas, mantenimiento industrial, vibración, herramientas.
1.3. Síndrome de vibración mano-brazo (T75.2 / G56.0)
Uso de taladros, demoledores, pulidoras</t>
  </si>
  <si>
    <t xml:space="preserve">1. Se cuentan con evidencias demostradas de manera sistemática a partir de la adopción de la norma (2014) que permitan demostrar el fortalecimiento de la promoción de la seguridad y la salud de los trabajadores, mediante la identificación, evaluación y control de  todos los riesgos presentes en el lugar de trabajo? </t>
  </si>
  <si>
    <t xml:space="preserve">1. La empresa cuenta con evidencias que permitan demostrar que se realizó la transición para la implementación definitiva de lo denominado Programas de salud ocupacional y ha logrado consolidar el SG-SST antes del 31 de enero de 2017 ? </t>
  </si>
  <si>
    <t xml:space="preserve">1. La empresa cuenta con evidencias exigidas por la circular 010 que contempla : el cumplimiento del Decreto 1072 de 2015/ el cumplimiento de Estándares Mínimos/ la Investigación y reporte de ATEL/  la Participación del COPASST y Acciones de inspección por parte del Ministerio?  </t>
  </si>
  <si>
    <t xml:space="preserve">1. la empresa ha verificado el cumplimiento de los profesionales SST  quienes deben realizar una actualización certificada de veinte (20) horas cada tres (3) años, cuyos temarios y módulos serán los establecidos por la Dirección de Riesgos Laborales del Ministerio del Trabajo  con el fin de conservar la vigencia de la Licencia de Prestación de servicios en seguridad y salud en el trabajo ?
</t>
  </si>
  <si>
    <t xml:space="preserve">1. La empresa conoce y aplica la modficación del  b) DEL NUMERAL 2 DEL ARTÍCULO 5 DE LA RESOLUCION 0491 DE 2020  por yerro mecanográfico, el cual queda :  Contenido de hidrocarburo (condensado) de 5 miligramos (mg) por metro cúbico de aire o menos  ? </t>
  </si>
  <si>
    <t>1. La empresa identifica, comprende y aplica los requisitos establecidos en la Resolución 866 de 2021 sobre los Elementos de Datos Clínicos Relevantes (EDCR), garantizando que la información de las historias clínicas de los trabajadores se gestione de forma interoperable, segura y conforme a los estándares definidos por el Ministerio de Salud? .</t>
  </si>
  <si>
    <t xml:space="preserve">1. La empresa ha tenido en cuenta , ha estblecido  reglas  y cuenta con la evidencia de la expedición, reconocimiento y pago de licencias de maternidad, paternidad e incapacidades de origen común, incluyendo las superiores a 540 días, y las situaciones de abuso del derecho?  </t>
  </si>
  <si>
    <t xml:space="preserve">La empresa cuenta con los protocolos para la ejecución de las labores mineras, con las las inspecciones y el monitoreo permanente de dichas labores; entre los que se deberán encontrar  como mínimo los siguientes:  
1. La empresa cuenta con los protocolos para la ejecución de las labores mineras, con las las inspecciones y el monitoreo permanente de dichas labores. Ingreso de visitantes y contratistas a las labores mineras a cielo abierto;  
2. La empresa cuenta con los protocolos para la ejecución de las labores mineras, con las las inspecciones y el monitoreo permanente de dichas labores. Almacenamiento y reposición de herramientas manuales, equipos y elementos de protección personal;  
3. La empresa cuenta con los protocolos para la ejecución de las labores mineras, con las las inspecciones y el monitoreo permanente de dichas labores. Almacenamiento, manipulación y disposición de combustibles, aceites otros compuestos químicos y demás sustancias peligrosas;  
4. La empresa cuenta con los protocolos para la ejecución de las labores mineras, con las las inspecciones y el monitoreo permanente de dichas labores. Comunicación entre los frentes de explotación y el exterior de la mina, entre los vehículos de trasporte de material y las áreas de control operativo; incluye sistemas de alarma y alerta.  
5. La empresa cuenta con los protocolos para la ejecución de las labores mineras, con las las inspecciones y el monitoreo permanente de dichas labores. Trabajos en alturas, espacios confinados y/o perforación y voladuras.  
6. La empresa cuenta con los protocolos para la ejecución de las labores mineras, con las las inspecciones y el monitoreo permanente de dichas labores. Operación de vehículos intra y extramuros, dirigido a carga y personal;  
7. La empresa cuenta con los protocolos para la ejecución de las labores mineras, con las las inspecciones y el monitoreo permanente de dichas labores. Manipulación de equipos, herramientas y vehículos utilizados en las labores mineras a cielo abierto incluye sistemas hidráulicos.  
8. La empresa cuenta con los protocolos para la ejecución de las labores mineras, con las las inspecciones y el monitoreo permanente de dichas labores. Manipulación de cargas en arrastre y movilización;  
9. La empresa cuenta con los protocolos para la ejecución de las labores mineras, con las las inspecciones y el monitoreo permanente de dichas labores. Acciones para bloqueo de las diferentes formas de energía en tareas de operación y mantenimiento;  
10. La empresa cuenta con los protocolos para la ejecución de las labores mineras, con las las inspecciones y el monitoreo permanente de dichas labores. Mantenimiento de equipos, máquinas, herramientas, vehículos automotores y maquinaria amarilla utilizados en las labores mineras a cielo abierto incluido los sistemas hidráulicos;  
11. La empresa cuenta con los protocolos para la ejecución de las labores mineras, con las las inspecciones y el monitoreo permanente de dichas labores. Mantenimiento locativo incluida la de la infraestructura vial dentro del proyecto minero, así como instalaciones eléctricas de mediana y alta tensión;  
12. La empresa cuenta con los protocolos para la ejecución de las labores mineras, con las las inspecciones y el monitoreo permanente de dichas labores. Inspecciones planeadas de puntos críticos en: iluminación, condiciones eléctricas de tableros, conductores, derivaciones, extensiones provisionales, niveles freáticos, equipos y elementos de protección personal, extintores y sistemas de emergencia y señalización entre otros;  
13. La empresa cuenta con los protocolos para la ejecución de las labores mineras, con las las inspecciones y el monitoreo permanente de dichas labores. Monitoreo de condiciones de ambiente ocupacional de las labores mineras a cielo abierto.  </t>
  </si>
  <si>
    <t xml:space="preserve">Sobre las obligaciones del Personal Directivo, Técnico y de Supervisión: Son obligaciones del personal Directivo, Técnico y de Supervisión,  la empresa puede demostrar que se cuenta con la asignación de funciones de manera clara y específica dando cumplimiento al artículo 8 donde se dictan las siguientes obligaciones: 
1. Sobre las obligaciones del Personal Directivo, Técnico y de Supervisión: Son obligaciones del personal Directivo, Técnico y de Supervisión,  la empresa puede demostrar que se cuenta con la asignación de funciones de manera clara y específica dando cumplimiento al artículo 8. Cumplir y hacer cumplir al personal bajo sus órdenes, lo dispuesto en el presente Reglamento, en la ley y disposiciones complementarias sobre seguridad y salud en el trabajo;  
2. Sobre las obligaciones del Personal Directivo, Técnico y de Supervisión: Son obligaciones del personal Directivo, Técnico y de Supervisión,  la empresa puede demostrar que se cuenta con la asignación de funciones de manera clara y específica dando cumplimiento al artículo 8. Tomar las medidas necesarias para el control de los riesgos identificados en el Sistema de Gestión de la Seguridad y Salud en el Trabajo, SG -SST, y de aquellos que se establezcan en la mina, no incluidos en éste;  
3. Sobre las obligaciones del Personal Directivo, Técnico y de Supervisión: Son obligaciones del personal Directivo, Técnico y de Supervisión,  la empresa puede demostrar que se cuenta con la asignación de funciones de manera clara y específica dando cumplimiento al artículo 8. Prohibir el ingreso o suspender aquellos trabajos en que se advierta riesgo inminente que pueda afectar la vida de los trabajadores;  
4. Sobre las obligaciones del Personal Directivo, Técnico y de Supervisión: Son obligaciones del personal Directivo, Técnico y de Supervisión,  la empresa puede demostrar que se cuenta con la asignación de funciones de manera clara y específica dando cumplimiento al artículo 8. Recorrer antes y durante cada turno, los sectores críticos previamente monitoreados en las labores mineras, con el fin de identificar los peligros potenciales para el personal, estableciendo los controles y alertas tempranas, incluyendo su socialización;  
5. Sobre las obligaciones del Personal Directivo, Técnico y de Supervisión: Son obligaciones del personal Directivo, Técnico y de Supervisión,  la empresa puede demostrar que se cuenta con la asignación de funciones de manera clara y específica dando cumplimiento al artículo 8. Monitorear permanentemente las condiciones de seguridad en las labores mineras a cielo abierto; y  
6. Sobre las obligaciones del Personal Directivo, Técnico y de Supervisión: Son obligaciones del personal Directivo, Técnico y de Supervisión,  la empresa puede demostrar que se cuenta con la asignación de funciones de manera clara y específica dando cumplimiento al artículo 8. Facilitar y promover la participación de los trabajadores en todas las actividades de promoción y prevención que se realicen al interior del proyecto minero.  </t>
  </si>
  <si>
    <t xml:space="preserve">La empresa cuenta con evidencia que:    a)  Ha comunicado de manera efectiva y reiterada  las  obligaciones que tienen los Trabajadores usando diferentes canales de comunicación ?  en lo cual se han debido incluir los siguientes aspectos: 
1. La empresa cuenta con evidencia que:    a)  Ha comunicado de manera efectiva y reiterada  las  obligaciones que tienen los Trabajadores usando diferentes canales de comunicación ?  en lo cual se han debido incluir: Procurar el cuidado integral de su salud 
2. La empresa cuenta con evidencia que:    a)  Ha comunicado de manera efectiva y reiterada  las  obligaciones que tienen los Trabajadores usando diferentes canales de comunicación ?  en lo cual se han debido incluir: Suministrar información clara, veraz y completa sobre su estado de salud
3. La empresa cuenta con evidencia que:    a)  Ha comunicado de manera efectiva y reiterada  las  obligaciones que tienen los Trabajadores usando diferentes canales de comunicación ?  en lo cual se han debido incluir: Informar inmediatamente a sus superiores de los actos y condiciones inseguras que puedan ocasionar riesgo en los sitios de trabajo
4. La empresa cuenta con evidencia que:    a)  Ha comunicado de manera efectiva y reiterada  las  obligaciones que tienen los Trabajadores usando diferentes canales de comunicación ?  en lo cual se han debido incluir: Informar de todo accidente o incidente que se produzca en el curso del trabajo y en relación con éste
5. La empresa cuenta con evidencia que:    a)  Ha comunicado de manera efectiva y reiterada  las  obligaciones que tienen los Trabajadores usando diferentes canales de comunicación ?  en lo cual se han debido incluir: Colaborar en la prevención de riesgos identificados en la empresa que desarrolle labores mineras a cielo abierto, cumpliendo lo establecido en el presente Reglamento y sus disposiciones complementarias, así como las órdenes e instrucciones que, para tales efectos les sean impartidas por sus superiores
6. La empresa cuenta con evidencia que:    a)  Ha comunicado de manera efectiva y reiterada  las  obligaciones que tienen los Trabajadores usando diferentes canales de comunicación ?  en lo cual se han debido incluir: Asistir a las capacitaciones y entrenamientos sobre seguridad y salud en el trabajo que sean impartidas y autorizadas por la empresa.  
7. La empresa cuenta con evidencia que:    a)  Ha comunicado de manera efectiva y reiterada  las  obligaciones que tienen los Trabajadores usando diferentes canales de comunicación ?  en lo cual se han debido incluir: Utilizar en forma permanente y correcta los elementos y equipos de protección personal y demás dispositivos para la prevención y control de los riesgos, procurando, además, su mantenimiento y conservación.  
8. La empresa cuenta con evidencia que:    a)  Ha comunicado de manera efectiva y reiterada  las  obligaciones que tienen los Trabajadores usando diferentes canales de comunicación ?  en lo cual se han debido incluir: Participar en la prevención de los riesgos identificados a través del comité paritario de seguridad y salud en el trabajo, o el vigía ocupacional;  
9. La empresa cuenta con evidencia que:    a)  Ha comunicado de manera efectiva y reiterada  las  obligaciones que tienen los Trabajadores usando diferentes canales de comunicación ?  en lo cual se han debido incluir: Cumplir las normas, reglamentos, instrucciones y procedimientos de trabajo seguro establecidos en el Sistema de Gestión de la Seguridad y Salud en el Trabajo.  </t>
  </si>
  <si>
    <t xml:space="preserve">La empresa cuenta con registros y evidencia demostrada de manera continua y ha dado cumplimiento a los artículos 10 al 14 del capítulo III de la norma los cuales hacen referencia a las siguientes obligaciones ?  a) Se cuenta con la identificación de peligros, evaluación y valoración de los riesgos, los análisis de puesto de trabajo, las inspecciones de las áreas, las mediciones higiénicas o en los resultados de las evaluaciones médicas ocupacionales, se debe determinar la necesidad de recurrir a la protección personal y precisar el riesgo al que debe ofrecerse protección, las partes del cuerpo a proteger y el tipo de equipo o elementos de protección personal que se deben utilizar.  b)  Se ha realizado la selección y utilización de los equipos y elementos de protección personal, teniendo  en cuenta,  entre otros los siguientes criterios:  
1. Análisis y evaluación de los riesgos identificados
2. Evaluación médico ocupacional
3. Recomendaciones del fabricante en el mantenimiento y cuidado de los elementos de protección personal y disposición final, de acuerdo con la ficha técnica del equipo y elemento de protección personal  
4. Capacitación y entrenamiento.  
c)  La empresa  tiene clara su obligación y puede demostrar con evidencias que debe proporcionar, reemplazar y efectuar el mantenimiento de los equipos y elementos de protección personal, sin costo alguno para el trabajador, de acuerdo con los riesgos identificados en el Sistema de Gestión de la Seguridad y Salud en el Trabajo, SG -SST, así como, de supervisar a sus trabajadores en el uso y mantenimiento de éstos, los cuales deben cumplir con los requisitos establecidos por la autoridad competente.  
d) De acuerdo al parágrafo del capítulo III . La empresa tiene claro y puede demostrar el cumplimiento de que Los equipos y elementos de protección personal deben estar certificados de acuerdo con las normas vigentes dentro del sistema nacional o internacional de acreditación.  
"La empresa cuenta con registros y evidencia demostrada de manera continua y ha dado cumplimiento a los artículos 10 al 14 del capítulo III de la norma los cuales hacen referencia a las siguientes obligaciones ?  a) Se cuenta con la identificación de peligros, evaluación y valoración de los riesgos, los análisis de puesto de trabajo, las inspecciones de las áreas, las mediciones higiénicas o en los resultados de las evaluaciones médicas ocupacionales, se debe determinar la necesidad de recurrir a la protección personal y precisar el riesgo al que debe ofrecerse protección, las partes del cuerpo a proteger y el tipo de equipo o elementos de protección personal que se deben utilizar.  b)  Se ha realizado la selección y utilización de los equipos y elementos de protección personal, teniendo  en cuenta,  entre otros los siguientes criterios:  
1. La empresa cuenta con registros y evidencia demostrada de manera continua y ha dado cumplimiento a los artículos 10 al 14 del capítulo III de la norma los cuales hacen referencia a las siguientes obligaciones ?  a) Se cuenta con la identificación de peligros, evaluación y valoración de los riesgos, los análisis de puesto de trabajo, las inspecciones de las áreas, las mediciones higiénicas o en los resultados de las evaluaciones médicas ocupacionales, se debe determinar la necesidad de recurrir a la protección personal y precisar el riesgo al que debe ofrecerse protección, las partes del cuerpo a proteger y el tipo de equipo o elementos de protección personal que se deben utilizar.  b)  Se ha realizado la selección y utilización de los equipos y elementos de protección personal, teniendo  en cuenta lo siguiente: Análisis y evaluación de los riesgos identificados
2. La empresa cuenta con registros y evidencia demostrada de manera continua y ha dado cumplimiento a los artículos 10 al 14 del capítulo III de la norma los cuales hacen referencia a las siguientes obligaciones ?  a) Se cuenta con la identificación de peligros, evaluación y valoración de los riesgos, los análisis de puesto de trabajo, las inspecciones de las áreas, las mediciones higiénicas o en los resultados de las evaluaciones médicas ocupacionales, se debe determinar la necesidad de recurrir a la protección personal y precisar el riesgo al que debe ofrecerse protección, las partes del cuerpo a proteger y el tipo de equipo o elementos de protección personal que se deben utilizar.  b)  Se ha realizado la selección y utilización de los equipos y elementos de protección personal, teniendo  en cuenta lo siguiente: Evaluación médico ocupacional
3. La empresa cuenta con registros y evidencia demostrada de manera continua y ha dado cumplimiento a los artículos 10 al 14 del capítulo III de la norma los cuales hacen referencia a las siguientes obligaciones ?  a) Se cuenta con la identificación de peligros, evaluación y valoración de los riesgos, los análisis de puesto de trabajo, las inspecciones de las áreas, las mediciones higiénicas o en los resultados de las evaluaciones médicas ocupacionales, se debe determinar la necesidad de recurrir a la protección personal y precisar el riesgo al que debe ofrecerse protección, las partes del cuerpo a proteger y el tipo de equipo o elementos de protección personal que se deben utilizar.  b)  Se ha realizado la selección y utilización de los equipos y elementos de protección personal, teniendo  en cuenta lo siguiente: Recomendaciones del fabricante en el mantenimiento y cuidado de los elementos de protección personal y disposición final, de acuerdo con la ficha técnica del equipo y elemento de protección personal  
4. La empresa cuenta con registros y evidencia demostrada de manera continua y ha dado cumplimiento a los artículos 10 al 14 del capítulo III de la norma los cuales hacen referencia a las siguientes obligaciones ?  a) Se cuenta con la identificación de peligros, evaluación y valoración de los riesgos, los análisis de puesto de trabajo, las inspecciones de las áreas, las mediciones higiénicas o en los resultados de las evaluaciones médicas ocupacionales, se debe determinar la necesidad de recurrir a la protección personal y precisar el riesgo al que debe ofrecerse protección, las partes del cuerpo a proteger y el tipo de equipo o elementos de protección personal que se deben utilizar.  b)  Se ha realizado la selección y utilización de los equipos y elementos de protección personal, teniendo  en cuenta lo siguiente: Capacitación y entrenamiento.  
c)  La empresa  tiene clara su obligación y puede demostrar con evidencias que debe proporcionar, reemplazar y efectuar el mantenimiento de los equipos y elementos de protección personal, sin costo alguno para el trabajador, de acuerdo con los riesgos identificados en el Sistema de Gestión de la Seguridad y Salud en el Trabajo, SG -SST, así como, de supervisar a sus trabajadores en el uso y mantenimiento de éstos, los cuales deben cumplir con los requisitos establecidos por la autoridad competente.  
d) De acuerdo al parágrafo del capítulo III . La empresa tiene claro y puede demostrar el cumplimiento de que Los equipos y elementos de protección personal deben estar certificados de acuerdo con las normas vigentes dentro del sistema nacional o internacional de acreditación.  
 Artículo 13. 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los siguientes temas:  
5. Artículo 13. 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Los efectos sobre la salud que tiene la exposición a los diferentes riesgos de la mina;  
6. Artículo 13. 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El uso correcto y su adecuado funcionamiento;  
7. Artículo 13. 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Inspección previa al equipo y a los elementos de protección personal;  
8. Artículo 13. 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El mantenimiento que le debe dar a los equipos y elementos de protección personal, y;  
9. Artículo 13. 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La forma de identificar las necesidades de mantenimiento o reposición.  
10. Parágrafo. El responsable de la aplicación y cumplimiento del presente reglamento debe mantener los registros de las capacitaciones, los cuales deben estar a disposición de las autoridades competentes, en las instalaciones de la mina.  
Artículo 14. Uso de equipos y elementos de protección personal. Los trabajadores están obligados a utilizar los equipos y elementos de protección personal, suministrados por el empleador, en la forma que se les indique, asimismo, los empleadores deben vigilar permanentemente que sean usados de acuerdo con las especificaciones dadas previamente.  
11. Parágrafo. En todo proyecto minero a cielo abierto, los visitantes deben atender los protocolos que estén establecidos para su ingreso y permanencia en las instalaciones de este, incluyendo el uso de los elementos de protección personal dispuestos para tal fin.  
</t>
  </si>
  <si>
    <t>La empresa ,  ha elaborado y mantiene actualizados en la mina,cuenta con le evidencia actualizada de los planos y registros de los avances y frentes de explotación de acuerdo con su desarrollo, incluidos los planos de riesgos y planos de seguridad minera , ha cumplido con lo establecido en la normatividad vigente para la presentación de planos y mapas aplicados a minería, incluyendo lo siguiente: 1.  La empresa ,  ha elaborado y mantiene actualizados en la mina,cuenta con le evidencia actualizada de los planos y registros de los avances y frentes de explotación de acuerdo con su desarrollo, incluidos los planos de riesgos y planos de seguridad minera , ha cumplido con lo establecido en la normatividad vigente para la presentación de planos y mapas aplicados a minería, incluyendo lo siguiente: Se  tiene conocimiento que en el área, se hayan adelantado labores subterráneas, deben elaborar los planos de aquellas labores que tengan influencia sobre las proyecciones de la explotación.  2. La empresa ,  ha elaborado y mantiene actualizados en la mina,cuenta con le evidencia actualizada de los planos y registros de los avances y frentes de explotación de acuerdo con su desarrollo, incluidos los planos de riesgos y planos de seguridad minera , ha cumplido con lo establecido en la normatividad vigente para la presentación de planos y mapas aplicados a minería, incluyendo lo siguiente: Los planos de riesgos deben ser ubicados en cada centro de trabajo, de acuerdo con la matriz de peligros establecida en el Sistema de Gestión de Seguridad y Salud en el Trabajo, (SG-SST). 3. La empresa ,  ha elaborado y mantiene actualizados en la mina,cuenta con le evidencia actualizada de los planos y registros de los avances y frentes de explotación de acuerdo con su desarrollo, incluidos los planos de riesgos y planos de seguridad minera , ha cumplido con lo establecido en la normatividad vigente para la presentación de planos y mapas aplicados a minería, incluyendo lo siguiente: Cuando se ha identificado un nuevo riesgo o la evaluación de uno ya existente que incremente su criticidad, se debe actualizar los planos de forma inmediata y tenerlos a disposición de la autoridad competente cuando lo requiera.</t>
  </si>
  <si>
    <t xml:space="preserve">La empresa puede demostrar que cumple  con los requisitos establecidos a saber: 
1.  La empresa puede demostrar que cumple  con los requisitos establecidos a saber: Todos los cables eléctricos utilizados para la transmisión de energía a las palas, grúas, perforadoras y maquinarias o equipos mayores, en general, deben contar con las aislaciones y protecciones estándares diseñadas para tales fines. Dichos cables no deben ser expuestos a ser pisados o estropeados por vehículos. Los cables enterrados, deberán ser convenientemente señalizados e indicados en un plano para evitar dañarlos entrar en contacto accidental con ellos; - Se prohíbe la manipulación, disposición y traslado de cables de alimentación a palas, perforadoras yen general de alta tensión, con equipos que no sean los adecuados para esa operación; y,  
-  Los transformadores y distribuidores de energía sean fijos o móviles, deberán ser de fácil acceso y estar resguardados de las operaciones inherentes al avance de la explotación.  </t>
  </si>
  <si>
    <t xml:space="preserve"> 1. La empresa ha tenido en cuenta que las características de la maquinaria y equipos a utilizar deben cumplir con : Características específicas   / Manuales de operación y mantenimiento / Instalación, operación y mantenimiento de equipos mecánicos fijos y móviles, debe hacerse de acuerdo con las especificaciones de los fabricantes, con especial atención a su programa de mantenimiento, descarga de gases contaminantes, calidad de repuestos y lubricación / Conoce el detalle de Uso y mantenimiento de maquinaria y equipos su selección , operación y formación al respecto ? </t>
  </si>
  <si>
    <t xml:space="preserve">1. La empresa cuenta con  Estudios técnicos para el diseño de escombreras. que incluyen, el análisis de las posibles causas de fallas y, considerar los riesgos para los trabajadores y la comunidad. Asimismo, se debe preparar el procedimiento para operar y realizar el cierre y abandono de la escombrera, especificando el programa de mantenimiento e inspección de este.    2. En su diseño se ha considerado la 
operación de la escombrera cumpliendo los requisitos que aplican incluyendo los procedimientos de manera clara entre estos el programa de mantenimiento del sistema de drenaje o desagüe para la escombrera. </t>
  </si>
  <si>
    <t>1. La empresa ha tenido en cuenta el diseño de silos y tolvas. Los silos y tolvas deben ser diseñados teniendo en cuenta previos cálculos estructurales, de acuerdo con la producción de la mina, tipo y cantidad de material a almacenar, la frecuencia de descargue y las medidas de seguridad respectivas; adicionalmente, se debe contar con el estudio de suelos para la ubicación de estas estructuras y cumplir con las normas de higiene y seguridad industrial.  De igual manera,  para cualquier operación que requiera la entrada a silos y tolvas, se deben tener en cuenta los protocolos de bloqueo y aislamiento de energía, trabajo en alturas, espacios confinados, manejo de cargas, trabajos en caliente y características fisicoquímicas del material contenido y la autorización previa del supervisor y la persona responsable del Sistema de Gestión de la Seguridad y Salud en el Trabajo, SG-SST, de acuerdo con lo establecido en la legislación vigente y tener en cuenta las medidas de prevención en el almacenamiento de materiales inflamables en los silos y tolvas contenidas en la norma. 
Artículo 76. Medidas de seguridad en silos y tolvas.</t>
  </si>
  <si>
    <t xml:space="preserve">La empresa ha aplicado los criterios y controles respectivos para:  a)  almacenar minerales, los cuales deben ser almacenados en sitios previamente seleccionados, de tal manera que no se vean afectados por la erosión eólica, previendo que no se interrumpa la operación de la mina y la comunidad.  
b) La empresa  debe contemplar un área de seguridad, la cual debe ser calculada de acuerdo con el volumen del mineral a almacenar, para que, en caso de desprendimiento, no afecte a los trabajadores o la infraestructura del proyecto minero.  c) El almacenamiento de carbón se ha hecho mediante el sistema de pilas.
d) Se han establecido procedimientos operacionales para minimizar eventos de calentamiento y/o autocombustión del carbón almacenado en pilas.  
e) Se ha tenido en cuenta la normatividad y se puede evidenciar el manejo y procedimientos para el  almacenamiento de combustibles líquidos. (Las empresas mineras que sean grandes consumidoras de combustibles líquidos derivados del petróleo deben cumplir estrictamente con las normas estipuladas por el Sector Administrativo de Minas y Energía. ) 
La empresa ha aplicado los criterios y controles respectivos para:  1. La empresa ha aplicado los criterios y controles respectivos para:  almacenar minerales, los cuales deben ser almacenados en sitios previamente seleccionados, de tal manera que no se vean afectados por la erosión eólica, previendo que no se interrumpa la operación de la mina y la comunidad.  
2. La empresa  debe contemplar un área de seguridad, la cual debe ser calculada de acuerdo con el volumen del mineral a almacenar, para que, en caso de desprendimiento, no afecte a los trabajadores o la infraestructura del proyecto minero.  3. Se han establecido procedimientos operacionales para minimizar eventos de calentamiento y/o autocombustión del carbón almacenado en pilas.  
5. Se ha tenido en cuenta la normatividad y se puede evidenciar el manejo y procedimientos para el  almacenamiento de combustibles líquidos. (Las empresas mineras que sean grandes consumidoras de combustibles líquidos derivados del petróleo deben cumplir estrictamente con las normas estipuladas por el Sector Administrativo de Minas y Energía. ) 
6. Artículo 82. Tanques de almacenamiento de materiales combustibles. Los tanques donde se almacenen materiales combustibles o inflamables deben cumplir lo reglamentado por el Sector Administrativo de Minas y Energía.  
7. Artículo 83. Almacenamiento de combustibles. En las áreas donde se almacenen combustibles, se debe tener en cuenta lo siguiente:  
a) Los tanques de almacenamiento de combustibles deben colocarse sobre bases de material no combustible, tener polo a tierra, indicar su contenido y capacidad, e identificarse con la palabra"" INFLAMABLE"" escrita en un lugar visible, en material reflectivo;
Artículo 82. Tanques de almacenamiento de materiales combustibles. Los tanques donde se almacenen materiales combustibles o inflamables deben cumplir lo reglamentado por el Sector Administrativo de Minas y Energía.  
Artículo 83. Almacenamiento de combustibles. En las áreas donde se almacenen combustibles, se debe tener en cuenta lo siguiente:  
1. Los tanques de almacenamiento de combustibles deben colocarse sobre bases de material no combustible, tener polo a tierra, indicar su contenido y capacidad, e identificarse con la palabra" INFLAMABLE" escrita en un lugar visible, en material reflectivo;  </t>
  </si>
  <si>
    <t xml:space="preserve">1. Se ha considerado el anexo del decreto, que contiene la tabla detallada de códigos CIIU y su respectiva clase de riesgo, que es la herramienta fundamental para la correcta clasificación de la actividad económica y la cotización correspondiente, basándose en la actividad más afín si no se encuentra explícitamente en la tabla y  teniendo en cuenta el peligro y riesgo laboral.? </t>
  </si>
  <si>
    <t xml:space="preserve">1. La empresa ha tenido en cuenta el alcance del ejercicio profesional para personas naturales en seguridad y salud en el trabajo?  ( incluye profesionales en ingeniería - psicología- técnicos- tecnólogos- seguridad e higiene industrial - medicina y otros profesionales) </t>
  </si>
  <si>
    <t>1. Se cuenta con evidencia demostrada mediante estrategias desplegadas en todo el SGSST que la empresa y sus  contratistas que vinculen trabajadores en actividades de alto riesgo dan cumplimiento a la prevención de riesgos a través del Decreto 2090 de 2003 ?   * *IR A DECRETO 2090 /03 DE LA MATRIZ **</t>
  </si>
  <si>
    <t xml:space="preserve">1. La empresa tiene presente la obligación de actualizar  la autorización para laborar horas extras, donde todo empleador que en la actualidad cuente con una autorización para laborar horas extras que no tenga un término de vigencia específico, contará, a partir de la fecha de vigencia de la presente resolución, con un término de seis (6) meses para tramitar la respectiva actualización de su autorización ante la Dirección Territorial del Ministerio del Trabajo de su jurisdicción, la cual no podrá superar el término de dos (2) años.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</si>
</sst>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409]mmmm\ d\,\ yyyy;@"/>
  </numFmts>
  <fonts count="62">
    <font>
      <sz val="11"/>
      <color theme="1"/>
      <name val="Calibri"/>
      <family val="2"/>
      <scheme val="minor"/>
    </font>
    <font>
      <sz val="11"/>
      <name val="Calibri"/>
      <family val="2"/>
      <scheme val="minor"/>
    </font>
    <font>
      <sz val="10"/>
      <name val="Arial"/>
      <family val="2"/>
    </font>
    <font>
      <sz val="11"/>
      <name val="Arial"/>
      <family val="2"/>
    </font>
    <font>
      <sz val="12"/>
      <name val="Calibri"/>
      <family val="2"/>
      <scheme val="minor"/>
    </font>
    <font>
      <b/>
      <sz val="11"/>
      <color theme="1"/>
      <name val="Calibri"/>
      <family val="2"/>
      <scheme val="minor"/>
    </font>
    <font>
      <b/>
      <sz val="18"/>
      <name val="Calibri"/>
      <family val="2"/>
      <scheme val="minor"/>
    </font>
    <font>
      <sz val="10"/>
      <name val="Calibri"/>
      <family val="2"/>
      <scheme val="minor"/>
    </font>
    <font>
      <b/>
      <sz val="20"/>
      <color theme="1"/>
      <name val="Calibri"/>
      <family val="2"/>
      <scheme val="minor"/>
    </font>
    <font>
      <b/>
      <sz val="11"/>
      <color theme="0"/>
      <name val="Calibri"/>
      <family val="2"/>
      <scheme val="minor"/>
    </font>
    <font>
      <sz val="14"/>
      <color indexed="8"/>
      <name val="Calibri"/>
      <family val="2"/>
      <scheme val="minor"/>
    </font>
    <font>
      <sz val="11"/>
      <color indexed="8"/>
      <name val="Calibri"/>
      <family val="2"/>
      <scheme val="minor"/>
    </font>
    <font>
      <b/>
      <sz val="16"/>
      <color theme="1"/>
      <name val="Calibri"/>
      <family val="2"/>
      <scheme val="minor"/>
    </font>
    <font>
      <b/>
      <sz val="11"/>
      <name val="Calibri"/>
      <family val="2"/>
      <scheme val="minor"/>
    </font>
    <font>
      <b/>
      <sz val="12"/>
      <name val="Arial"/>
      <family val="2"/>
    </font>
    <font>
      <b/>
      <sz val="10"/>
      <name val="Calibri"/>
      <family val="2"/>
      <scheme val="minor"/>
    </font>
    <font>
      <sz val="12"/>
      <name val="Tahoma"/>
      <family val="2"/>
    </font>
    <font>
      <b/>
      <sz val="12"/>
      <color theme="0"/>
      <name val="Tahoma"/>
      <family val="2"/>
    </font>
    <font>
      <b/>
      <sz val="12"/>
      <color theme="0"/>
      <name val="Gill Sans MT"/>
      <family val="2"/>
    </font>
    <font>
      <b/>
      <sz val="12"/>
      <color theme="0"/>
      <name val="Calibri"/>
      <family val="2"/>
      <scheme val="minor"/>
    </font>
    <font>
      <u/>
      <sz val="11"/>
      <color theme="10"/>
      <name val="Calibri"/>
      <family val="2"/>
      <scheme val="minor"/>
    </font>
    <font>
      <b/>
      <sz val="18"/>
      <color theme="0"/>
      <name val="Tahoma"/>
      <family val="2"/>
    </font>
    <font>
      <b/>
      <sz val="14"/>
      <color theme="0"/>
      <name val="Calibri"/>
      <family val="2"/>
      <scheme val="minor"/>
    </font>
    <font>
      <b/>
      <sz val="12"/>
      <name val="Tahoma"/>
      <family val="2"/>
    </font>
    <font>
      <b/>
      <sz val="14"/>
      <color theme="1"/>
      <name val="Calibri"/>
      <family val="2"/>
      <scheme val="minor"/>
    </font>
    <font>
      <sz val="14"/>
      <color theme="1"/>
      <name val="Calibri"/>
      <family val="2"/>
      <scheme val="minor"/>
    </font>
    <font>
      <b/>
      <sz val="14"/>
      <color theme="0"/>
      <name val="Tahoma"/>
      <family val="2"/>
    </font>
    <font>
      <b/>
      <sz val="14"/>
      <color rgb="FF000000"/>
      <name val="Arial Narrow"/>
      <family val="2"/>
    </font>
    <font>
      <sz val="14"/>
      <color rgb="FF000000"/>
      <name val="Arial Narrow"/>
      <family val="2"/>
    </font>
    <font>
      <b/>
      <sz val="11"/>
      <color indexed="8"/>
      <name val="Calibri"/>
      <family val="2"/>
      <scheme val="minor"/>
    </font>
    <font>
      <b/>
      <sz val="10"/>
      <color theme="0"/>
      <name val="Calibri"/>
      <family val="2"/>
      <scheme val="minor"/>
    </font>
    <font>
      <sz val="12"/>
      <color theme="1"/>
      <name val="Calibri"/>
      <family val="2"/>
      <scheme val="minor"/>
    </font>
    <font>
      <sz val="14"/>
      <color theme="0"/>
      <name val="Calibri"/>
      <family val="2"/>
      <scheme val="minor"/>
    </font>
    <font>
      <sz val="11"/>
      <color rgb="FF0A0A0A"/>
      <name val="Arial"/>
      <family val="2"/>
    </font>
    <font>
      <sz val="12"/>
      <color rgb="FF0A0A0A"/>
      <name val="Arial"/>
      <family val="2"/>
    </font>
    <font>
      <sz val="11"/>
      <color theme="3"/>
      <name val="Calibri"/>
      <family val="2"/>
      <scheme val="minor"/>
    </font>
    <font>
      <b/>
      <sz val="12"/>
      <color rgb="FF0A0A0A"/>
      <name val="Arial"/>
      <family val="2"/>
    </font>
    <font>
      <b/>
      <sz val="11"/>
      <color rgb="FF0A0A0A"/>
      <name val="Arial"/>
      <family val="2"/>
    </font>
    <font>
      <b/>
      <sz val="11"/>
      <color rgb="FF0A0A0A"/>
      <name val="Calibri"/>
      <family val="2"/>
      <scheme val="minor"/>
    </font>
    <font>
      <sz val="11"/>
      <color rgb="FF0A0A0A"/>
      <name val="Calibri"/>
      <family val="2"/>
      <scheme val="minor"/>
    </font>
    <font>
      <sz val="12"/>
      <color rgb="FF0A0A0A"/>
      <name val="Calibri"/>
      <family val="2"/>
      <scheme val="minor"/>
    </font>
    <font>
      <b/>
      <sz val="10"/>
      <color rgb="FF0A0A0A"/>
      <name val="Arial"/>
      <family val="2"/>
    </font>
    <font>
      <b/>
      <sz val="11"/>
      <color rgb="FF000000"/>
      <name val="Arial"/>
      <family val="2"/>
    </font>
    <font>
      <sz val="11"/>
      <color theme="5"/>
      <name val="Calibri"/>
      <family val="2"/>
      <scheme val="minor"/>
    </font>
    <font>
      <sz val="11"/>
      <color rgb="FF333333"/>
      <name val="Arial"/>
      <family val="2"/>
    </font>
    <font>
      <sz val="11"/>
      <color rgb="FF00B050"/>
      <name val="Calibri"/>
      <family val="2"/>
      <scheme val="minor"/>
    </font>
    <font>
      <b/>
      <sz val="11"/>
      <color rgb="FF333333"/>
      <name val="Calibri"/>
      <family val="2"/>
      <scheme val="minor"/>
    </font>
    <font>
      <b/>
      <sz val="11"/>
      <color rgb="FF00B050"/>
      <name val="Calibri"/>
      <family val="2"/>
      <scheme val="minor"/>
    </font>
    <font>
      <sz val="12"/>
      <color rgb="FF212529"/>
      <name val="SuraSans-regular"/>
    </font>
    <font>
      <sz val="11"/>
      <color rgb="FF212529"/>
      <name val="Calibri"/>
      <family val="2"/>
      <scheme val="minor"/>
    </font>
    <font>
      <b/>
      <sz val="11"/>
      <color rgb="FF212529"/>
      <name val="Calibri"/>
      <family val="2"/>
      <scheme val="minor"/>
    </font>
    <font>
      <b/>
      <sz val="11"/>
      <color rgb="FF000000"/>
      <name val="Calibri"/>
      <family val="2"/>
      <scheme val="minor"/>
    </font>
    <font>
      <b/>
      <sz val="11"/>
      <color rgb="FF464646"/>
      <name val="Calibri"/>
      <family val="2"/>
      <scheme val="minor"/>
    </font>
    <font>
      <sz val="10"/>
      <color rgb="FF0A0A0A"/>
      <name val="Arial"/>
      <family val="2"/>
    </font>
    <font>
      <b/>
      <i/>
      <sz val="12"/>
      <name val="Arial"/>
      <family val="2"/>
    </font>
    <font>
      <i/>
      <sz val="11"/>
      <color theme="1"/>
      <name val="Calibri"/>
      <family val="2"/>
      <scheme val="minor"/>
    </font>
    <font>
      <b/>
      <i/>
      <sz val="11"/>
      <color theme="1"/>
      <name val="Calibri"/>
      <family val="2"/>
      <scheme val="minor"/>
    </font>
    <font>
      <b/>
      <sz val="10"/>
      <color rgb="FF333333"/>
      <name val="Calibri"/>
      <family val="2"/>
      <scheme val="minor"/>
    </font>
    <font>
      <i/>
      <sz val="10"/>
      <color theme="1"/>
      <name val="Calibri"/>
      <family val="2"/>
      <scheme val="minor"/>
    </font>
    <font>
      <b/>
      <sz val="11"/>
      <color rgb="FF343A40"/>
      <name val="Calibri"/>
      <family val="2"/>
      <scheme val="minor"/>
    </font>
    <font>
      <b/>
      <sz val="11"/>
      <color rgb="FF3B3B3B"/>
      <name val="Calibri"/>
      <family val="2"/>
      <scheme val="minor"/>
    </font>
    <font>
      <b/>
      <sz val="12"/>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3" tint="-0.249977111117893"/>
        <bgColor indexed="64"/>
      </patternFill>
    </fill>
    <fill>
      <patternFill patternType="solid">
        <fgColor theme="3" tint="0.39997558519241921"/>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23"/>
      </left>
      <right style="medium">
        <color indexed="23"/>
      </right>
      <top style="medium">
        <color indexed="23"/>
      </top>
      <bottom style="medium">
        <color indexed="23"/>
      </bottom>
      <diagonal/>
    </border>
    <border>
      <left style="thin">
        <color auto="1"/>
      </left>
      <right style="thin">
        <color auto="1"/>
      </right>
      <top style="thin">
        <color auto="1"/>
      </top>
      <bottom/>
      <diagonal/>
    </border>
    <border>
      <left style="thin">
        <color auto="1"/>
      </left>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bottom/>
      <diagonal/>
    </border>
    <border>
      <left/>
      <right style="medium">
        <color indexed="64"/>
      </right>
      <top/>
      <bottom style="medium">
        <color indexed="64"/>
      </bottom>
      <diagonal/>
    </border>
    <border>
      <left/>
      <right/>
      <top style="thin">
        <color auto="1"/>
      </top>
      <bottom/>
      <diagonal/>
    </border>
    <border>
      <left/>
      <right style="medium">
        <color indexed="23"/>
      </right>
      <top style="medium">
        <color indexed="23"/>
      </top>
      <bottom style="medium">
        <color indexed="23"/>
      </bottom>
      <diagonal/>
    </border>
    <border>
      <left style="medium">
        <color indexed="23"/>
      </left>
      <right/>
      <top style="medium">
        <color indexed="23"/>
      </top>
      <bottom style="medium">
        <color indexed="23"/>
      </bottom>
      <diagonal/>
    </border>
    <border>
      <left/>
      <right style="medium">
        <color indexed="23"/>
      </right>
      <top/>
      <bottom style="medium">
        <color indexed="23"/>
      </bottom>
      <diagonal/>
    </border>
    <border>
      <left style="medium">
        <color indexed="23"/>
      </left>
      <right style="medium">
        <color indexed="23"/>
      </right>
      <top/>
      <bottom style="medium">
        <color indexed="23"/>
      </bottom>
      <diagonal/>
    </border>
    <border>
      <left style="medium">
        <color indexed="23"/>
      </left>
      <right/>
      <top/>
      <bottom style="medium">
        <color indexed="23"/>
      </bottom>
      <diagonal/>
    </border>
    <border>
      <left/>
      <right style="medium">
        <color indexed="23"/>
      </right>
      <top style="medium">
        <color indexed="23"/>
      </top>
      <bottom/>
      <diagonal/>
    </border>
    <border>
      <left style="medium">
        <color indexed="23"/>
      </left>
      <right style="medium">
        <color indexed="23"/>
      </right>
      <top style="medium">
        <color indexed="23"/>
      </top>
      <bottom/>
      <diagonal/>
    </border>
    <border>
      <left style="medium">
        <color indexed="23"/>
      </left>
      <right/>
      <top style="medium">
        <color indexed="23"/>
      </top>
      <bottom/>
      <diagonal/>
    </border>
    <border>
      <left/>
      <right style="thin">
        <color indexed="64"/>
      </right>
      <top style="thin">
        <color indexed="64"/>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right style="thin">
        <color auto="1"/>
      </right>
      <top style="medium">
        <color indexed="64"/>
      </top>
      <bottom style="medium">
        <color indexed="64"/>
      </bottom>
      <diagonal/>
    </border>
    <border>
      <left/>
      <right style="thin">
        <color auto="1"/>
      </right>
      <top style="medium">
        <color indexed="64"/>
      </top>
      <bottom/>
      <diagonal/>
    </border>
    <border>
      <left/>
      <right style="thin">
        <color auto="1"/>
      </right>
      <top/>
      <bottom style="medium">
        <color indexed="64"/>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auto="1"/>
      </right>
      <top/>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style="medium">
        <color indexed="64"/>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diagonal/>
    </border>
    <border>
      <left style="thin">
        <color indexed="64"/>
      </left>
      <right style="thin">
        <color indexed="64"/>
      </right>
      <top/>
      <bottom style="thin">
        <color auto="1"/>
      </bottom>
      <diagonal/>
    </border>
  </borders>
  <cellStyleXfs count="7">
    <xf numFmtId="0" fontId="0" fillId="0" borderId="0"/>
    <xf numFmtId="0" fontId="2" fillId="0" borderId="0"/>
    <xf numFmtId="0" fontId="2" fillId="0" borderId="0"/>
    <xf numFmtId="0" fontId="2" fillId="0" borderId="0"/>
    <xf numFmtId="0" fontId="2" fillId="0" borderId="0"/>
    <xf numFmtId="0" fontId="2" fillId="0" borderId="0"/>
    <xf numFmtId="0" fontId="20" fillId="0" borderId="0"/>
  </cellStyleXfs>
  <cellXfs count="201">
    <xf numFmtId="0" fontId="0" fillId="0" borderId="0" xfId="0"/>
    <xf numFmtId="0" fontId="0" fillId="0" borderId="1" xfId="0" applyBorder="1" applyAlignment="1">
      <alignment horizontal="center" vertical="center" wrapText="1"/>
    </xf>
    <xf numFmtId="0" fontId="0" fillId="0" borderId="1" xfId="0" applyBorder="1" applyAlignment="1">
      <alignment vertical="center" wrapText="1"/>
    </xf>
    <xf numFmtId="0" fontId="7" fillId="0" borderId="0" xfId="2" applyFont="1" applyAlignment="1">
      <alignment wrapText="1"/>
    </xf>
    <xf numFmtId="0" fontId="12" fillId="0" borderId="0" xfId="0" applyFont="1" applyAlignment="1">
      <alignment vertical="center"/>
    </xf>
    <xf numFmtId="0" fontId="3"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0" fontId="14" fillId="5" borderId="1" xfId="0" applyFont="1" applyFill="1" applyBorder="1" applyAlignment="1">
      <alignment horizontal="center" vertical="center" wrapText="1"/>
    </xf>
    <xf numFmtId="0" fontId="15" fillId="0" borderId="0" xfId="2" applyFont="1" applyAlignment="1">
      <alignment horizontal="center" vertical="top" wrapText="1"/>
    </xf>
    <xf numFmtId="0" fontId="10" fillId="0" borderId="0" xfId="2" applyFont="1" applyAlignment="1">
      <alignment horizontal="left" vertical="center" wrapText="1"/>
    </xf>
    <xf numFmtId="1" fontId="10" fillId="0" borderId="0" xfId="2" applyNumberFormat="1" applyFont="1" applyAlignment="1">
      <alignment horizontal="center" vertical="center" wrapText="1"/>
    </xf>
    <xf numFmtId="165" fontId="10" fillId="0" borderId="0" xfId="2" applyNumberFormat="1" applyFont="1" applyAlignment="1">
      <alignment horizontal="center" vertical="center" wrapText="1"/>
    </xf>
    <xf numFmtId="9" fontId="11" fillId="0" borderId="0" xfId="2" applyNumberFormat="1" applyFont="1" applyAlignment="1">
      <alignment horizontal="center" vertical="center" wrapText="1"/>
    </xf>
    <xf numFmtId="0" fontId="16" fillId="0" borderId="0" xfId="0" applyFont="1"/>
    <xf numFmtId="0" fontId="16" fillId="0" borderId="0" xfId="0" applyFont="1" applyAlignment="1">
      <alignment wrapText="1"/>
    </xf>
    <xf numFmtId="166" fontId="16" fillId="0" borderId="0" xfId="0" applyNumberFormat="1" applyFont="1" applyAlignment="1">
      <alignment horizontal="center"/>
    </xf>
    <xf numFmtId="0" fontId="16" fillId="0" borderId="0" xfId="0" applyFont="1" applyAlignment="1">
      <alignment horizontal="center"/>
    </xf>
    <xf numFmtId="0" fontId="0" fillId="2" borderId="1" xfId="0" applyFill="1" applyBorder="1" applyAlignment="1">
      <alignment horizontal="center" vertical="center"/>
    </xf>
    <xf numFmtId="0" fontId="0" fillId="2" borderId="1" xfId="0" applyFill="1" applyBorder="1" applyAlignment="1">
      <alignment vertical="center" wrapText="1"/>
    </xf>
    <xf numFmtId="0" fontId="5" fillId="2" borderId="1" xfId="0" applyFont="1" applyFill="1" applyBorder="1" applyAlignment="1">
      <alignment horizontal="center" vertical="center"/>
    </xf>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5" fillId="0" borderId="0" xfId="0" applyFont="1"/>
    <xf numFmtId="0" fontId="0" fillId="0" borderId="1" xfId="0" applyBorder="1" applyAlignment="1">
      <alignment vertical="center"/>
    </xf>
    <xf numFmtId="0" fontId="19" fillId="4" borderId="1" xfId="0" applyFont="1" applyFill="1" applyBorder="1"/>
    <xf numFmtId="0" fontId="1" fillId="2" borderId="32" xfId="0" applyFont="1" applyFill="1" applyBorder="1"/>
    <xf numFmtId="0" fontId="1" fillId="2" borderId="31" xfId="0" applyFont="1" applyFill="1" applyBorder="1"/>
    <xf numFmtId="0" fontId="1" fillId="2" borderId="33" xfId="0" applyFont="1" applyFill="1" applyBorder="1" applyAlignment="1">
      <alignment vertical="center" wrapText="1"/>
    </xf>
    <xf numFmtId="0" fontId="20" fillId="0" borderId="0" xfId="6"/>
    <xf numFmtId="0" fontId="0" fillId="11" borderId="0" xfId="0" applyFill="1"/>
    <xf numFmtId="0" fontId="8" fillId="11" borderId="0" xfId="0" applyFont="1" applyFill="1" applyAlignment="1">
      <alignment vertical="center" wrapText="1"/>
    </xf>
    <xf numFmtId="0" fontId="17" fillId="4" borderId="1" xfId="0" applyFont="1" applyFill="1" applyBorder="1" applyAlignment="1">
      <alignment horizontal="center" vertical="center" wrapText="1"/>
    </xf>
    <xf numFmtId="166" fontId="23" fillId="7" borderId="2" xfId="0" applyNumberFormat="1" applyFont="1" applyFill="1" applyBorder="1" applyAlignment="1">
      <alignment horizontal="center" vertical="center" wrapText="1"/>
    </xf>
    <xf numFmtId="0" fontId="23" fillId="7" borderId="2" xfId="0" applyFont="1" applyFill="1" applyBorder="1" applyAlignment="1">
      <alignment horizontal="center" vertical="center" wrapText="1"/>
    </xf>
    <xf numFmtId="0" fontId="23" fillId="7" borderId="7" xfId="0" applyFont="1" applyFill="1" applyBorder="1" applyAlignment="1">
      <alignment horizontal="center" vertical="center" wrapText="1"/>
    </xf>
    <xf numFmtId="0" fontId="23" fillId="7" borderId="30" xfId="0" applyFont="1" applyFill="1" applyBorder="1" applyAlignment="1">
      <alignment horizontal="center" vertical="center" wrapText="1"/>
    </xf>
    <xf numFmtId="0" fontId="22" fillId="8" borderId="1" xfId="0" applyFont="1" applyFill="1" applyBorder="1" applyAlignment="1">
      <alignment vertical="center"/>
    </xf>
    <xf numFmtId="0" fontId="25" fillId="10" borderId="1" xfId="0" applyFont="1" applyFill="1" applyBorder="1" applyAlignment="1">
      <alignment vertical="center"/>
    </xf>
    <xf numFmtId="0" fontId="25" fillId="10" borderId="1" xfId="0" applyFont="1" applyFill="1" applyBorder="1" applyAlignment="1">
      <alignment vertical="center" wrapText="1"/>
    </xf>
    <xf numFmtId="0" fontId="27" fillId="5" borderId="1" xfId="0" applyFont="1" applyFill="1" applyBorder="1" applyAlignment="1">
      <alignment horizontal="center" vertical="center" wrapText="1" readingOrder="1"/>
    </xf>
    <xf numFmtId="0" fontId="28" fillId="5" borderId="1" xfId="0" applyFont="1" applyFill="1" applyBorder="1" applyAlignment="1">
      <alignment horizontal="center" vertical="center" wrapText="1" readingOrder="1"/>
    </xf>
    <xf numFmtId="3" fontId="27" fillId="5" borderId="1" xfId="0" applyNumberFormat="1" applyFont="1" applyFill="1" applyBorder="1" applyAlignment="1">
      <alignment horizontal="center" vertical="center" wrapText="1" readingOrder="1"/>
    </xf>
    <xf numFmtId="0" fontId="5" fillId="0" borderId="1" xfId="0" applyFont="1" applyBorder="1" applyAlignment="1">
      <alignment horizontal="center" vertical="center" wrapText="1"/>
    </xf>
    <xf numFmtId="0" fontId="0" fillId="0" borderId="1" xfId="0" applyBorder="1" applyAlignment="1">
      <alignment horizontal="left" vertical="center" wrapText="1"/>
    </xf>
    <xf numFmtId="0" fontId="19" fillId="12" borderId="13" xfId="0" applyFont="1" applyFill="1" applyBorder="1" applyAlignment="1">
      <alignment horizontal="center" vertical="center"/>
    </xf>
    <xf numFmtId="0" fontId="1" fillId="0" borderId="0" xfId="2" applyFont="1" applyAlignment="1">
      <alignment wrapText="1"/>
    </xf>
    <xf numFmtId="0" fontId="9" fillId="6" borderId="16" xfId="2" applyFont="1" applyFill="1" applyBorder="1" applyAlignment="1">
      <alignment horizontal="left" vertical="center" wrapText="1"/>
    </xf>
    <xf numFmtId="0" fontId="9" fillId="6" borderId="17" xfId="2" applyFont="1" applyFill="1" applyBorder="1" applyAlignment="1">
      <alignment horizontal="center" vertical="center" wrapText="1"/>
    </xf>
    <xf numFmtId="0" fontId="9" fillId="6" borderId="18" xfId="2" applyFont="1" applyFill="1" applyBorder="1" applyAlignment="1">
      <alignment horizontal="center" vertical="center" wrapText="1"/>
    </xf>
    <xf numFmtId="0" fontId="29" fillId="0" borderId="14" xfId="2" applyFont="1" applyBorder="1" applyAlignment="1">
      <alignment horizontal="left" vertical="center" wrapText="1"/>
    </xf>
    <xf numFmtId="1" fontId="11" fillId="0" borderId="5" xfId="2" applyNumberFormat="1" applyFont="1" applyBorder="1" applyAlignment="1">
      <alignment horizontal="center" vertical="center" wrapText="1"/>
    </xf>
    <xf numFmtId="165" fontId="11" fillId="0" borderId="5" xfId="2" applyNumberFormat="1" applyFont="1" applyBorder="1" applyAlignment="1">
      <alignment horizontal="center" vertical="center" wrapText="1"/>
    </xf>
    <xf numFmtId="9" fontId="11" fillId="0" borderId="15" xfId="2" applyNumberFormat="1" applyFont="1" applyBorder="1" applyAlignment="1">
      <alignment horizontal="center" vertical="center" wrapText="1"/>
    </xf>
    <xf numFmtId="0" fontId="29" fillId="0" borderId="19" xfId="2" applyFont="1" applyBorder="1" applyAlignment="1">
      <alignment horizontal="left" vertical="center" wrapText="1"/>
    </xf>
    <xf numFmtId="1" fontId="11" fillId="0" borderId="20" xfId="2" applyNumberFormat="1" applyFont="1" applyBorder="1" applyAlignment="1">
      <alignment horizontal="center" vertical="center" wrapText="1"/>
    </xf>
    <xf numFmtId="165" fontId="11" fillId="0" borderId="20" xfId="2" applyNumberFormat="1" applyFont="1" applyBorder="1" applyAlignment="1">
      <alignment horizontal="center" vertical="center" wrapText="1"/>
    </xf>
    <xf numFmtId="9" fontId="11" fillId="0" borderId="21" xfId="2" applyNumberFormat="1" applyFont="1" applyBorder="1" applyAlignment="1">
      <alignment horizontal="center" vertical="center" wrapText="1"/>
    </xf>
    <xf numFmtId="0" fontId="27" fillId="5" borderId="31" xfId="0" applyFont="1" applyFill="1" applyBorder="1" applyAlignment="1">
      <alignment horizontal="center" vertical="center" wrapText="1" readingOrder="1"/>
    </xf>
    <xf numFmtId="0" fontId="28" fillId="5" borderId="31" xfId="0" applyFont="1" applyFill="1" applyBorder="1" applyAlignment="1">
      <alignment horizontal="center" vertical="center" wrapText="1" readingOrder="1"/>
    </xf>
    <xf numFmtId="3" fontId="27" fillId="5" borderId="31" xfId="0" applyNumberFormat="1" applyFont="1" applyFill="1" applyBorder="1" applyAlignment="1">
      <alignment horizontal="center" vertical="center" wrapText="1" readingOrder="1"/>
    </xf>
    <xf numFmtId="0" fontId="27" fillId="5" borderId="42" xfId="0" applyFont="1" applyFill="1" applyBorder="1" applyAlignment="1">
      <alignment horizontal="center" vertical="center" wrapText="1" readingOrder="1"/>
    </xf>
    <xf numFmtId="0" fontId="27" fillId="5" borderId="33" xfId="0" applyFont="1" applyFill="1" applyBorder="1" applyAlignment="1">
      <alignment horizontal="center" vertical="center" wrapText="1" readingOrder="1"/>
    </xf>
    <xf numFmtId="0" fontId="30" fillId="12" borderId="0" xfId="6" applyFont="1" applyFill="1" applyAlignment="1">
      <alignment horizontal="center" vertical="center" wrapText="1"/>
    </xf>
    <xf numFmtId="0" fontId="19" fillId="12" borderId="0" xfId="6" applyFont="1" applyFill="1" applyAlignment="1">
      <alignment horizontal="center" vertical="center"/>
    </xf>
    <xf numFmtId="0" fontId="9" fillId="8" borderId="0" xfId="6" applyFont="1" applyFill="1" applyAlignment="1">
      <alignment horizontal="center" vertical="center" wrapText="1"/>
    </xf>
    <xf numFmtId="0" fontId="19" fillId="12" borderId="0" xfId="6" applyFont="1" applyFill="1" applyAlignment="1">
      <alignment horizontal="center" vertical="center" wrapText="1"/>
    </xf>
    <xf numFmtId="0" fontId="31" fillId="11" borderId="0" xfId="0" applyFont="1" applyFill="1"/>
    <xf numFmtId="0" fontId="19" fillId="12" borderId="0" xfId="0" applyFont="1" applyFill="1" applyAlignment="1">
      <alignment horizontal="center" vertical="center" wrapText="1"/>
    </xf>
    <xf numFmtId="0" fontId="4" fillId="11" borderId="0" xfId="0" applyFont="1" applyFill="1"/>
    <xf numFmtId="9" fontId="32" fillId="12" borderId="0" xfId="0" applyNumberFormat="1" applyFont="1" applyFill="1"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5" fillId="0" borderId="0" xfId="0" applyFont="1" applyAlignment="1">
      <alignment vertical="center"/>
    </xf>
    <xf numFmtId="0" fontId="5" fillId="0" borderId="52" xfId="0" applyFont="1" applyBorder="1" applyAlignment="1">
      <alignment vertical="center" wrapText="1"/>
    </xf>
    <xf numFmtId="0" fontId="0" fillId="0" borderId="52" xfId="0" applyBorder="1" applyAlignment="1">
      <alignment vertical="center" wrapText="1"/>
    </xf>
    <xf numFmtId="0" fontId="0" fillId="0" borderId="52" xfId="0" applyBorder="1" applyAlignment="1">
      <alignment horizontal="center" vertical="center" wrapText="1"/>
    </xf>
    <xf numFmtId="0" fontId="5" fillId="0" borderId="0" xfId="0" applyFont="1" applyAlignment="1">
      <alignment vertical="center" wrapText="1"/>
    </xf>
    <xf numFmtId="0" fontId="0" fillId="0" borderId="0" xfId="0" applyAlignment="1">
      <alignment vertical="center" wrapText="1"/>
    </xf>
    <xf numFmtId="0" fontId="9" fillId="6" borderId="52" xfId="0" applyFont="1" applyFill="1" applyBorder="1" applyAlignment="1">
      <alignment horizontal="center" vertical="center" wrapText="1"/>
    </xf>
    <xf numFmtId="0" fontId="9" fillId="6" borderId="52" xfId="0" applyFont="1" applyFill="1" applyBorder="1" applyAlignment="1">
      <alignment vertical="center" wrapText="1"/>
    </xf>
    <xf numFmtId="0" fontId="0" fillId="0" borderId="0" xfId="0" applyAlignment="1">
      <alignment wrapText="1"/>
    </xf>
    <xf numFmtId="0" fontId="35" fillId="0" borderId="52" xfId="0" applyFont="1" applyBorder="1" applyAlignment="1">
      <alignment vertical="center" wrapText="1"/>
    </xf>
    <xf numFmtId="0" fontId="5" fillId="0" borderId="52" xfId="0" applyFont="1" applyBorder="1" applyAlignment="1">
      <alignment horizontal="center" vertical="center" wrapText="1"/>
    </xf>
    <xf numFmtId="0" fontId="40" fillId="0" borderId="52" xfId="0" applyFont="1" applyBorder="1" applyAlignment="1">
      <alignment horizontal="center" vertical="center" wrapText="1"/>
    </xf>
    <xf numFmtId="0" fontId="40" fillId="0" borderId="52" xfId="0" applyFont="1" applyBorder="1" applyAlignment="1">
      <alignment vertical="top" wrapText="1"/>
    </xf>
    <xf numFmtId="0" fontId="47" fillId="0" borderId="52" xfId="0" applyFont="1" applyBorder="1" applyAlignment="1">
      <alignment vertical="center" wrapText="1"/>
    </xf>
    <xf numFmtId="0" fontId="13" fillId="0" borderId="52" xfId="0" applyFont="1" applyBorder="1" applyAlignment="1">
      <alignment vertical="center" wrapText="1"/>
    </xf>
    <xf numFmtId="0" fontId="39" fillId="0" borderId="52" xfId="0" applyFont="1" applyBorder="1" applyAlignment="1">
      <alignment horizontal="left" vertical="center" wrapText="1"/>
    </xf>
    <xf numFmtId="0" fontId="1" fillId="0" borderId="52" xfId="0" applyFont="1" applyBorder="1" applyAlignment="1">
      <alignment vertical="center" wrapText="1"/>
    </xf>
    <xf numFmtId="0" fontId="0" fillId="0" borderId="52" xfId="0" applyBorder="1" applyAlignment="1">
      <alignment horizontal="left" vertical="center" wrapText="1"/>
    </xf>
    <xf numFmtId="0" fontId="47" fillId="9" borderId="52" xfId="0" applyFont="1" applyFill="1" applyBorder="1" applyAlignment="1">
      <alignment vertical="center" wrapText="1"/>
    </xf>
    <xf numFmtId="0" fontId="1" fillId="0" borderId="52" xfId="0" applyFont="1" applyBorder="1" applyAlignment="1">
      <alignment horizontal="center" vertical="center" wrapText="1"/>
    </xf>
    <xf numFmtId="0" fontId="5" fillId="0" borderId="52" xfId="0" applyFont="1" applyBorder="1" applyAlignment="1">
      <alignment horizontal="center" vertical="center"/>
    </xf>
    <xf numFmtId="0" fontId="45" fillId="0" borderId="52" xfId="0" applyFont="1" applyBorder="1" applyAlignment="1">
      <alignment vertical="center" wrapText="1"/>
    </xf>
    <xf numFmtId="0" fontId="34" fillId="0" borderId="52" xfId="0" applyFont="1" applyBorder="1" applyAlignment="1">
      <alignment horizontal="center" vertical="center" wrapText="1"/>
    </xf>
    <xf numFmtId="0" fontId="5" fillId="0" borderId="0" xfId="0" applyFont="1" applyAlignment="1">
      <alignment horizontal="center" vertical="center" wrapText="1"/>
    </xf>
    <xf numFmtId="0" fontId="42" fillId="0" borderId="52" xfId="0" applyFont="1" applyBorder="1" applyAlignment="1">
      <alignment horizontal="center" vertical="center" wrapText="1"/>
    </xf>
    <xf numFmtId="0" fontId="38" fillId="0" borderId="52" xfId="0" applyFont="1" applyBorder="1" applyAlignment="1">
      <alignment horizontal="center" vertical="center" wrapText="1"/>
    </xf>
    <xf numFmtId="0" fontId="49" fillId="0" borderId="52" xfId="0" applyFont="1" applyBorder="1" applyAlignment="1">
      <alignment horizontal="center" vertical="center" wrapText="1"/>
    </xf>
    <xf numFmtId="0" fontId="39" fillId="0" borderId="52" xfId="0" applyFont="1" applyBorder="1" applyAlignment="1">
      <alignment horizontal="center" wrapText="1"/>
    </xf>
    <xf numFmtId="0" fontId="46" fillId="0" borderId="52" xfId="0" applyFont="1" applyBorder="1" applyAlignment="1">
      <alignment horizontal="center" vertical="center" wrapText="1"/>
    </xf>
    <xf numFmtId="0" fontId="51" fillId="0" borderId="52" xfId="0" applyFont="1" applyBorder="1" applyAlignment="1">
      <alignment horizontal="center" vertical="center" wrapText="1"/>
    </xf>
    <xf numFmtId="0" fontId="13" fillId="0" borderId="52" xfId="0" applyFont="1" applyBorder="1" applyAlignment="1">
      <alignment horizontal="center" vertical="center" wrapText="1"/>
    </xf>
    <xf numFmtId="0" fontId="39" fillId="0" borderId="52" xfId="0" applyFont="1" applyBorder="1" applyAlignment="1">
      <alignment horizontal="center" vertical="center" wrapText="1"/>
    </xf>
    <xf numFmtId="0" fontId="13" fillId="0" borderId="52" xfId="6" applyFont="1" applyBorder="1" applyAlignment="1">
      <alignment horizontal="center" vertical="center" wrapText="1"/>
    </xf>
    <xf numFmtId="0" fontId="53" fillId="0" borderId="52" xfId="0" applyFont="1" applyBorder="1" applyAlignment="1">
      <alignment horizontal="center" vertical="center" wrapText="1"/>
    </xf>
    <xf numFmtId="0" fontId="41" fillId="0" borderId="52" xfId="0" applyFont="1" applyBorder="1" applyAlignment="1">
      <alignment horizontal="center" vertical="center" wrapText="1"/>
    </xf>
    <xf numFmtId="0" fontId="44" fillId="0" borderId="52" xfId="0" applyFont="1" applyBorder="1" applyAlignment="1">
      <alignment horizontal="center" vertical="center"/>
    </xf>
    <xf numFmtId="0" fontId="34" fillId="0" borderId="52" xfId="0" applyFont="1" applyBorder="1" applyAlignment="1">
      <alignment horizontal="left" vertical="top" wrapText="1" indent="1"/>
    </xf>
    <xf numFmtId="0" fontId="38" fillId="0" borderId="0" xfId="0" applyFont="1" applyAlignment="1">
      <alignment horizontal="center" vertical="center" wrapText="1"/>
    </xf>
    <xf numFmtId="0" fontId="52" fillId="0" borderId="52" xfId="0" applyFont="1" applyBorder="1" applyAlignment="1">
      <alignment horizontal="center" vertical="center" wrapText="1"/>
    </xf>
    <xf numFmtId="0" fontId="50" fillId="0" borderId="52" xfId="0" applyFont="1" applyBorder="1" applyAlignment="1">
      <alignment horizontal="center" vertical="center" wrapText="1"/>
    </xf>
    <xf numFmtId="0" fontId="48" fillId="0" borderId="52" xfId="0" applyFont="1" applyBorder="1" applyAlignment="1">
      <alignment horizontal="center" vertical="center" wrapText="1"/>
    </xf>
    <xf numFmtId="0" fontId="39" fillId="0" borderId="52" xfId="0" applyFont="1" applyBorder="1" applyAlignment="1">
      <alignment horizontal="center" vertical="center"/>
    </xf>
    <xf numFmtId="0" fontId="13" fillId="0" borderId="0" xfId="0" applyFont="1" applyAlignment="1">
      <alignment vertical="center" wrapText="1"/>
    </xf>
    <xf numFmtId="0" fontId="46" fillId="0" borderId="0" xfId="0" applyFont="1" applyAlignment="1">
      <alignment horizontal="center" vertical="center" wrapText="1"/>
    </xf>
    <xf numFmtId="0" fontId="57" fillId="0" borderId="52" xfId="0" applyFont="1" applyBorder="1" applyAlignment="1">
      <alignment horizontal="center" vertical="center" wrapText="1"/>
    </xf>
    <xf numFmtId="0" fontId="51" fillId="0" borderId="0" xfId="0" applyFont="1" applyAlignment="1">
      <alignment horizontal="center" vertical="center" wrapText="1"/>
    </xf>
    <xf numFmtId="0" fontId="54" fillId="0" borderId="52" xfId="0" applyFont="1" applyBorder="1" applyAlignment="1">
      <alignment horizontal="center" vertical="center" wrapText="1"/>
    </xf>
    <xf numFmtId="0" fontId="59" fillId="0" borderId="0" xfId="0" applyFont="1" applyAlignment="1">
      <alignment horizontal="center" vertical="center" wrapText="1"/>
    </xf>
    <xf numFmtId="0" fontId="13" fillId="0" borderId="0" xfId="0" applyFont="1" applyAlignment="1">
      <alignment horizontal="justify" vertical="center" wrapText="1"/>
    </xf>
    <xf numFmtId="0" fontId="47" fillId="0" borderId="52" xfId="0" applyFont="1" applyBorder="1" applyAlignment="1">
      <alignment horizontal="center" vertical="center" wrapText="1"/>
    </xf>
    <xf numFmtId="0" fontId="0" fillId="0" borderId="0" xfId="0" applyAlignment="1">
      <alignment horizontal="center" vertical="center"/>
    </xf>
    <xf numFmtId="0" fontId="60" fillId="0" borderId="0" xfId="0" applyFont="1" applyAlignment="1">
      <alignment horizontal="center" vertical="center" wrapText="1"/>
    </xf>
    <xf numFmtId="0" fontId="61" fillId="0" borderId="52" xfId="0" applyFont="1" applyBorder="1" applyAlignment="1">
      <alignment horizontal="center" vertical="center" wrapText="1"/>
    </xf>
    <xf numFmtId="0" fontId="5" fillId="0" borderId="52" xfId="0" applyFont="1" applyBorder="1"/>
    <xf numFmtId="0" fontId="0" fillId="0" borderId="52" xfId="0" applyBorder="1"/>
    <xf numFmtId="0" fontId="9" fillId="0" borderId="0" xfId="0" applyFont="1" applyAlignment="1">
      <alignment horizontal="center" vertical="center" wrapText="1"/>
    </xf>
    <xf numFmtId="0" fontId="0" fillId="0" borderId="0" xfId="0"/>
    <xf numFmtId="0" fontId="9" fillId="12" borderId="0" xfId="6" applyFont="1" applyFill="1" applyAlignment="1">
      <alignment horizontal="center" vertical="center"/>
    </xf>
    <xf numFmtId="0" fontId="9" fillId="12" borderId="0" xfId="6" applyFont="1" applyFill="1" applyAlignment="1">
      <alignment horizontal="center" vertical="center" wrapText="1"/>
    </xf>
    <xf numFmtId="0" fontId="9" fillId="6" borderId="1" xfId="2" applyFont="1" applyFill="1" applyBorder="1" applyAlignment="1">
      <alignment horizontal="center" vertical="center" textRotation="90" wrapText="1"/>
    </xf>
    <xf numFmtId="0" fontId="0" fillId="0" borderId="11" xfId="0" applyBorder="1"/>
    <xf numFmtId="0" fontId="0" fillId="0" borderId="2" xfId="0" applyBorder="1"/>
    <xf numFmtId="0" fontId="6" fillId="2" borderId="0" xfId="0" applyFont="1" applyFill="1" applyAlignment="1">
      <alignment horizontal="center"/>
    </xf>
    <xf numFmtId="0" fontId="7" fillId="0" borderId="0" xfId="2" applyFont="1" applyAlignment="1">
      <alignment wrapText="1"/>
    </xf>
    <xf numFmtId="0" fontId="24" fillId="0" borderId="34" xfId="2" applyFont="1" applyBorder="1" applyAlignment="1">
      <alignment horizontal="center" vertical="center" wrapText="1"/>
    </xf>
    <xf numFmtId="0" fontId="0" fillId="0" borderId="10" xfId="0" applyBorder="1"/>
    <xf numFmtId="0" fontId="0" fillId="0" borderId="34" xfId="0" applyBorder="1"/>
    <xf numFmtId="0" fontId="5" fillId="0" borderId="0" xfId="2" applyFont="1" applyAlignment="1">
      <alignment horizontal="center" vertical="center" wrapText="1"/>
    </xf>
    <xf numFmtId="0" fontId="15" fillId="0" borderId="8" xfId="2" applyFont="1" applyBorder="1" applyAlignment="1">
      <alignment horizontal="center" vertical="top" wrapText="1"/>
    </xf>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12" xfId="0" applyBorder="1"/>
    <xf numFmtId="0" fontId="5" fillId="0" borderId="24" xfId="2" applyFont="1" applyBorder="1" applyAlignment="1">
      <alignment horizontal="center" vertical="center" wrapText="1"/>
    </xf>
    <xf numFmtId="0" fontId="7" fillId="0" borderId="1" xfId="2" applyFont="1" applyBorder="1" applyAlignment="1">
      <alignment horizontal="center" wrapText="1"/>
    </xf>
    <xf numFmtId="0" fontId="0" fillId="0" borderId="4" xfId="0" applyBorder="1"/>
    <xf numFmtId="0" fontId="0" fillId="0" borderId="1" xfId="0" applyBorder="1" applyAlignment="1">
      <alignment horizontal="center" vertical="center" wrapText="1"/>
    </xf>
    <xf numFmtId="0" fontId="0" fillId="0" borderId="1" xfId="0" applyBorder="1" applyAlignment="1">
      <alignment horizontal="center" wrapText="1"/>
    </xf>
    <xf numFmtId="0" fontId="22" fillId="8" borderId="0" xfId="0" applyFont="1" applyFill="1" applyAlignment="1">
      <alignment horizontal="center" vertical="center"/>
    </xf>
    <xf numFmtId="0" fontId="5" fillId="2" borderId="1" xfId="0" applyFont="1" applyFill="1" applyBorder="1" applyAlignment="1">
      <alignment horizontal="center" vertical="center"/>
    </xf>
    <xf numFmtId="0" fontId="0" fillId="0" borderId="1" xfId="0" applyBorder="1" applyAlignment="1">
      <alignment horizontal="left" wrapText="1"/>
    </xf>
    <xf numFmtId="0" fontId="0" fillId="0" borderId="1" xfId="0" applyBorder="1" applyAlignment="1">
      <alignment horizontal="left" vertical="center" wrapText="1"/>
    </xf>
    <xf numFmtId="0" fontId="0" fillId="0" borderId="1" xfId="0" applyBorder="1" applyAlignment="1">
      <alignment horizontal="left" vertical="center"/>
    </xf>
    <xf numFmtId="0" fontId="17" fillId="4" borderId="1" xfId="0" applyFont="1" applyFill="1" applyBorder="1" applyAlignment="1">
      <alignment horizontal="center" vertical="center" wrapText="1"/>
    </xf>
    <xf numFmtId="0" fontId="0" fillId="0" borderId="3" xfId="0" applyBorder="1"/>
    <xf numFmtId="0" fontId="13" fillId="5" borderId="6"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3" fillId="5" borderId="44" xfId="0" applyFont="1" applyFill="1" applyBorder="1" applyAlignment="1">
      <alignment horizontal="center" vertical="center"/>
    </xf>
    <xf numFmtId="0" fontId="0" fillId="0" borderId="22" xfId="0" applyBorder="1"/>
    <xf numFmtId="0" fontId="0" fillId="0" borderId="45" xfId="0" applyBorder="1"/>
    <xf numFmtId="0" fontId="0" fillId="0" borderId="23" xfId="0" applyBorder="1"/>
    <xf numFmtId="0" fontId="21" fillId="4" borderId="1" xfId="0" applyFont="1" applyFill="1" applyBorder="1" applyAlignment="1">
      <alignment horizontal="center" vertical="center" wrapText="1"/>
    </xf>
    <xf numFmtId="0" fontId="22" fillId="6" borderId="46" xfId="0" applyFont="1" applyFill="1" applyBorder="1" applyAlignment="1">
      <alignment horizontal="center" vertical="center" wrapText="1"/>
    </xf>
    <xf numFmtId="0" fontId="0" fillId="0" borderId="37" xfId="0" applyBorder="1"/>
    <xf numFmtId="0" fontId="0" fillId="0" borderId="38" xfId="0" applyBorder="1"/>
    <xf numFmtId="0" fontId="27" fillId="5" borderId="47" xfId="0" applyFont="1" applyFill="1" applyBorder="1" applyAlignment="1">
      <alignment horizontal="center" vertical="center" wrapText="1" readingOrder="1"/>
    </xf>
    <xf numFmtId="0" fontId="0" fillId="0" borderId="48" xfId="0" applyBorder="1"/>
    <xf numFmtId="0" fontId="27" fillId="5" borderId="39" xfId="0" applyFont="1" applyFill="1" applyBorder="1" applyAlignment="1">
      <alignment horizontal="center" vertical="center" wrapText="1" readingOrder="1"/>
    </xf>
    <xf numFmtId="0" fontId="0" fillId="0" borderId="41" xfId="0" applyBorder="1"/>
    <xf numFmtId="0" fontId="28" fillId="5" borderId="1" xfId="0" applyFont="1" applyFill="1" applyBorder="1" applyAlignment="1">
      <alignment horizontal="center" vertical="center" wrapText="1" readingOrder="1"/>
    </xf>
    <xf numFmtId="0" fontId="27" fillId="5" borderId="1" xfId="0" applyFont="1" applyFill="1" applyBorder="1" applyAlignment="1">
      <alignment horizontal="center" vertical="center" wrapText="1" readingOrder="1"/>
    </xf>
    <xf numFmtId="0" fontId="0" fillId="0" borderId="40" xfId="0" applyBorder="1"/>
    <xf numFmtId="0" fontId="27" fillId="5" borderId="49" xfId="0" applyFont="1" applyFill="1" applyBorder="1" applyAlignment="1">
      <alignment horizontal="center" vertical="center" wrapText="1" readingOrder="1"/>
    </xf>
    <xf numFmtId="0" fontId="0" fillId="0" borderId="50" xfId="0" applyBorder="1"/>
    <xf numFmtId="0" fontId="26" fillId="4" borderId="1" xfId="0" applyFont="1" applyFill="1" applyBorder="1" applyAlignment="1">
      <alignment horizontal="center" vertical="center" wrapText="1"/>
    </xf>
    <xf numFmtId="166"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16" fillId="0" borderId="52" xfId="0" applyFont="1" applyBorder="1" applyAlignment="1">
      <alignment horizontal="center"/>
    </xf>
    <xf numFmtId="0" fontId="0" fillId="0" borderId="53" xfId="0" applyBorder="1"/>
    <xf numFmtId="0" fontId="0" fillId="0" borderId="54" xfId="0" applyBorder="1"/>
    <xf numFmtId="0" fontId="5"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2" fillId="8" borderId="1"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5" fillId="0" borderId="1" xfId="0" applyFont="1" applyBorder="1" applyAlignment="1">
      <alignment horizontal="center" vertical="center"/>
    </xf>
    <xf numFmtId="0" fontId="13" fillId="2" borderId="51" xfId="0" applyFont="1" applyFill="1" applyBorder="1" applyAlignment="1">
      <alignment horizontal="center" vertical="center" wrapText="1"/>
    </xf>
    <xf numFmtId="0" fontId="0" fillId="0" borderId="35" xfId="0" applyBorder="1"/>
    <xf numFmtId="0" fontId="0" fillId="0" borderId="43" xfId="0" applyBorder="1"/>
    <xf numFmtId="0" fontId="0" fillId="0" borderId="36" xfId="0" applyBorder="1"/>
    <xf numFmtId="0" fontId="0" fillId="0" borderId="8" xfId="0" applyBorder="1" applyAlignment="1">
      <alignment horizontal="left" vertical="center" wrapText="1"/>
    </xf>
    <xf numFmtId="0" fontId="0" fillId="0" borderId="9" xfId="0" applyBorder="1"/>
    <xf numFmtId="0" fontId="0" fillId="0" borderId="8" xfId="0" applyBorder="1" applyAlignment="1">
      <alignment horizontal="left" vertical="top" wrapText="1"/>
    </xf>
    <xf numFmtId="0" fontId="18" fillId="4" borderId="1" xfId="0" applyFont="1" applyFill="1" applyBorder="1" applyAlignment="1">
      <alignment horizontal="center"/>
    </xf>
    <xf numFmtId="0" fontId="19" fillId="4" borderId="1" xfId="0" applyFont="1" applyFill="1" applyBorder="1" applyAlignment="1">
      <alignment horizontal="center"/>
    </xf>
  </cellXfs>
  <cellStyles count="7">
    <cellStyle name="Hipervínculo" xfId="6" builtinId="8"/>
    <cellStyle name="Normal" xfId="0" builtinId="0"/>
    <cellStyle name="Normal 2 2" xfId="2" xr:uid="{00000000-0005-0000-0000-000002000000}"/>
    <cellStyle name="Normal 2 2 2" xfId="5" xr:uid="{00000000-0005-0000-0000-000005000000}"/>
    <cellStyle name="Normal 3" xfId="3" xr:uid="{00000000-0005-0000-0000-000003000000}"/>
    <cellStyle name="Normal 3 2" xfId="4" xr:uid="{00000000-0005-0000-0000-000004000000}"/>
    <cellStyle name="Normal 4" xfId="1" xr:uid="{00000000-0005-0000-0000-000001000000}"/>
  </cellStyles>
  <dxfs count="18">
    <dxf>
      <font>
        <strike val="0"/>
        <condense val="0"/>
        <extend val="0"/>
        <outline val="0"/>
        <shadow val="0"/>
        <vertAlign val="baseline"/>
        <sz val="11"/>
        <color indexed="8"/>
        <name val="Calibri"/>
        <scheme val="minor"/>
      </font>
      <numFmt numFmtId="13" formatCode="0%"/>
      <fill>
        <patternFill>
          <fgColor indexed="64"/>
          <bgColor indexed="65"/>
        </patternFill>
      </fill>
      <alignment horizontal="center" vertical="center" wrapText="1"/>
      <border outline="0">
        <left style="medium">
          <color indexed="23"/>
        </left>
        <right/>
        <top style="medium">
          <color indexed="23"/>
        </top>
        <bottom style="medium">
          <color indexed="23"/>
        </bottom>
      </border>
    </dxf>
    <dxf>
      <font>
        <strike val="0"/>
        <condense val="0"/>
        <extend val="0"/>
        <outline val="0"/>
        <shadow val="0"/>
        <vertAlign val="baseline"/>
        <sz val="11"/>
        <color indexed="8"/>
        <name val="Calibri"/>
        <scheme val="minor"/>
      </font>
      <numFmt numFmtId="165" formatCode="#,##0.0"/>
      <fill>
        <patternFill>
          <fgColor indexed="64"/>
          <bgColor indexed="65"/>
        </patternFill>
      </fill>
      <alignment horizontal="center" vertical="center" wrapText="1"/>
      <border outline="0">
        <left style="medium">
          <color indexed="23"/>
        </left>
        <right style="medium">
          <color indexed="23"/>
        </right>
        <top style="medium">
          <color indexed="23"/>
        </top>
        <bottom style="medium">
          <color indexed="23"/>
        </bottom>
      </border>
    </dxf>
    <dxf>
      <font>
        <strike val="0"/>
        <condense val="0"/>
        <extend val="0"/>
        <outline val="0"/>
        <shadow val="0"/>
        <vertAlign val="baseline"/>
        <sz val="11"/>
        <color indexed="8"/>
        <name val="Calibri"/>
        <scheme val="minor"/>
      </font>
      <numFmt numFmtId="1" formatCode="0"/>
      <fill>
        <patternFill>
          <fgColor indexed="64"/>
          <bgColor indexed="65"/>
        </patternFill>
      </fill>
      <alignment horizontal="center" vertical="center" wrapText="1"/>
      <border outline="0">
        <left/>
        <right style="medium">
          <color indexed="23"/>
        </right>
        <top style="medium">
          <color indexed="23"/>
        </top>
        <bottom style="medium">
          <color indexed="23"/>
        </bottom>
      </border>
    </dxf>
    <dxf>
      <font>
        <b/>
        <strike val="0"/>
        <condense val="0"/>
        <extend val="0"/>
        <outline val="0"/>
        <shadow val="0"/>
        <vertAlign val="baseline"/>
        <sz val="11"/>
        <color indexed="8"/>
        <name val="Calibri"/>
        <scheme val="minor"/>
      </font>
      <fill>
        <patternFill>
          <fgColor indexed="64"/>
          <bgColor indexed="65"/>
        </patternFill>
      </fill>
      <alignment horizontal="left" vertical="center" wrapText="1"/>
      <border outline="0">
        <left/>
        <right style="medium">
          <color indexed="23"/>
        </right>
        <top style="medium">
          <color indexed="23"/>
        </top>
        <bottom style="medium">
          <color indexed="23"/>
        </bottom>
      </border>
    </dxf>
    <dxf>
      <border outline="0">
        <top style="medium">
          <color indexed="23"/>
        </top>
      </border>
    </dxf>
    <dxf>
      <border outline="0">
        <left style="medium">
          <color indexed="23"/>
        </left>
        <right style="medium">
          <color indexed="23"/>
        </right>
        <top style="medium">
          <color indexed="23"/>
        </top>
        <bottom style="medium">
          <color indexed="23"/>
        </bottom>
      </border>
    </dxf>
    <dxf>
      <font>
        <strike val="0"/>
        <outline val="0"/>
        <shadow val="0"/>
        <vertAlign val="baseline"/>
        <sz val="11"/>
        <color indexed="8"/>
        <name val="Calibri"/>
        <scheme val="minor"/>
      </font>
    </dxf>
    <dxf>
      <border outline="0">
        <bottom style="medium">
          <color indexed="23"/>
        </bottom>
      </border>
    </dxf>
    <dxf>
      <font>
        <b/>
        <strike val="0"/>
        <condense val="0"/>
        <extend val="0"/>
        <outline val="0"/>
        <shadow val="0"/>
        <vertAlign val="baseline"/>
        <sz val="11"/>
        <color theme="0"/>
        <name val="Calibri"/>
        <scheme val="minor"/>
      </font>
      <fill>
        <patternFill patternType="solid">
          <fgColor indexed="64"/>
          <bgColor theme="4" tint="-0.249977111117893"/>
        </patternFill>
      </fill>
      <alignment horizontal="center" vertical="center" wrapText="1"/>
      <border outline="0">
        <left style="medium">
          <color indexed="23"/>
        </left>
        <right style="medium">
          <color indexed="23"/>
        </right>
        <top/>
        <bottom/>
      </border>
    </dxf>
    <dxf>
      <font>
        <strike val="0"/>
        <condense val="0"/>
        <extend val="0"/>
        <outline val="0"/>
        <shadow val="0"/>
        <vertAlign val="baseline"/>
        <sz val="11"/>
        <color indexed="8"/>
        <name val="Calibri"/>
        <scheme val="minor"/>
      </font>
      <numFmt numFmtId="13" formatCode="0%"/>
      <fill>
        <patternFill>
          <fgColor indexed="64"/>
          <bgColor indexed="65"/>
        </patternFill>
      </fill>
      <alignment horizontal="center" vertical="center" wrapText="1"/>
      <border outline="0">
        <left style="medium">
          <color indexed="23"/>
        </left>
        <right/>
        <top style="medium">
          <color indexed="23"/>
        </top>
        <bottom style="medium">
          <color indexed="23"/>
        </bottom>
      </border>
    </dxf>
    <dxf>
      <font>
        <strike val="0"/>
        <condense val="0"/>
        <extend val="0"/>
        <outline val="0"/>
        <shadow val="0"/>
        <vertAlign val="baseline"/>
        <sz val="11"/>
        <color indexed="8"/>
        <name val="Calibri"/>
        <scheme val="minor"/>
      </font>
      <numFmt numFmtId="165" formatCode="#,##0.0"/>
      <fill>
        <patternFill>
          <fgColor indexed="64"/>
          <bgColor indexed="65"/>
        </patternFill>
      </fill>
      <alignment horizontal="center" vertical="center" wrapText="1"/>
      <border outline="0">
        <left style="medium">
          <color indexed="23"/>
        </left>
        <right style="medium">
          <color indexed="23"/>
        </right>
        <top style="medium">
          <color indexed="23"/>
        </top>
        <bottom style="medium">
          <color indexed="23"/>
        </bottom>
      </border>
    </dxf>
    <dxf>
      <font>
        <strike val="0"/>
        <condense val="0"/>
        <extend val="0"/>
        <outline val="0"/>
        <shadow val="0"/>
        <vertAlign val="baseline"/>
        <sz val="11"/>
        <color indexed="8"/>
        <name val="Calibri"/>
        <scheme val="minor"/>
      </font>
      <numFmt numFmtId="1" formatCode="0"/>
      <fill>
        <patternFill>
          <fgColor indexed="64"/>
          <bgColor indexed="65"/>
        </patternFill>
      </fill>
      <alignment horizontal="center" vertical="center" wrapText="1"/>
      <border outline="0">
        <left/>
        <right style="medium">
          <color indexed="23"/>
        </right>
        <top style="medium">
          <color indexed="23"/>
        </top>
        <bottom style="medium">
          <color indexed="23"/>
        </bottom>
      </border>
    </dxf>
    <dxf>
      <font>
        <b/>
        <strike val="0"/>
        <condense val="0"/>
        <extend val="0"/>
        <outline val="0"/>
        <shadow val="0"/>
        <vertAlign val="baseline"/>
        <sz val="11"/>
        <color indexed="8"/>
        <name val="Calibri"/>
        <scheme val="minor"/>
      </font>
      <fill>
        <patternFill>
          <fgColor indexed="64"/>
          <bgColor indexed="65"/>
        </patternFill>
      </fill>
      <alignment horizontal="left" vertical="center" wrapText="1"/>
      <border outline="0">
        <left/>
        <right style="medium">
          <color indexed="23"/>
        </right>
        <top style="medium">
          <color indexed="23"/>
        </top>
        <bottom style="medium">
          <color indexed="23"/>
        </bottom>
      </border>
    </dxf>
    <dxf>
      <border outline="0">
        <top style="medium">
          <color indexed="23"/>
        </top>
      </border>
    </dxf>
    <dxf>
      <border outline="0">
        <left style="medium">
          <color indexed="23"/>
        </left>
        <right style="medium">
          <color indexed="23"/>
        </right>
        <top style="medium">
          <color indexed="23"/>
        </top>
        <bottom style="medium">
          <color indexed="23"/>
        </bottom>
      </border>
    </dxf>
    <dxf>
      <font>
        <strike val="0"/>
        <outline val="0"/>
        <shadow val="0"/>
        <vertAlign val="baseline"/>
        <sz val="11"/>
        <color indexed="8"/>
        <name val="Calibri"/>
        <scheme val="minor"/>
      </font>
    </dxf>
    <dxf>
      <border outline="0">
        <bottom style="medium">
          <color indexed="23"/>
        </bottom>
      </border>
    </dxf>
    <dxf>
      <font>
        <b/>
        <strike val="0"/>
        <condense val="0"/>
        <extend val="0"/>
        <outline val="0"/>
        <shadow val="0"/>
        <vertAlign val="baseline"/>
        <sz val="11"/>
        <color theme="0"/>
        <name val="Calibri"/>
        <scheme val="minor"/>
      </font>
      <fill>
        <patternFill patternType="solid">
          <fgColor indexed="64"/>
          <bgColor theme="4" tint="-0.249977111117893"/>
        </patternFill>
      </fill>
      <alignment horizontal="center" vertical="center" wrapText="1"/>
      <border outline="0">
        <left style="medium">
          <color indexed="23"/>
        </left>
        <right style="medium">
          <color indexed="23"/>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strike="noStrike" kern="1200" baseline="0">
                <a:solidFill>
                  <a:sysClr val="windowText" lastClr="000000"/>
                </a:solidFill>
                <a:latin typeface="+mn-lt"/>
                <a:ea typeface="+mn-ea"/>
                <a:cs typeface="+mn-cs"/>
              </a:defRPr>
            </a:pPr>
            <a:r>
              <a:rPr lang="es-CO" sz="1050"/>
              <a:t>% DE CUMPLIMIENTO LEGAL</a:t>
            </a:r>
          </a:p>
        </c:rich>
      </c:tx>
      <c:overlay val="0"/>
      <c:spPr>
        <a:noFill/>
        <a:ln>
          <a:noFill/>
          <a:prstDash val="solid"/>
        </a:ln>
      </c:spPr>
    </c:title>
    <c:autoTitleDeleted val="0"/>
    <c:plotArea>
      <c:layout>
        <c:manualLayout>
          <c:layoutTarget val="inner"/>
          <c:xMode val="edge"/>
          <c:yMode val="edge"/>
          <c:x val="6.4317670083102366E-2"/>
          <c:y val="0.15176867560425969"/>
          <c:w val="0.74809623766405797"/>
          <c:h val="0.70438508624271179"/>
        </c:manualLayout>
      </c:layout>
      <c:barChart>
        <c:barDir val="col"/>
        <c:grouping val="clustered"/>
        <c:varyColors val="0"/>
        <c:ser>
          <c:idx val="0"/>
          <c:order val="0"/>
          <c:tx>
            <c:strRef>
              <c:f>'% Cumplimiento'!$B$3</c:f>
              <c:strCache>
                <c:ptCount val="1"/>
                <c:pt idx="0">
                  <c:v>EVALUACIÓN 2025</c:v>
                </c:pt>
              </c:strCache>
            </c:strRef>
          </c:tx>
          <c:spPr>
            <a:solidFill>
              <a:schemeClr val="accent6">
                <a:lumMod val="60000"/>
                <a:lumOff val="40000"/>
              </a:schemeClr>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Cumplimiento'!$B$14:$B$21</c:f>
              <c:strCache>
                <c:ptCount val="8"/>
                <c:pt idx="0">
                  <c:v>Requisitos Generales</c:v>
                </c:pt>
                <c:pt idx="1">
                  <c:v>Biológicos</c:v>
                </c:pt>
                <c:pt idx="2">
                  <c:v>De Seguridad</c:v>
                </c:pt>
                <c:pt idx="3">
                  <c:v>Biomecánicos</c:v>
                </c:pt>
                <c:pt idx="4">
                  <c:v>Físicos</c:v>
                </c:pt>
                <c:pt idx="5">
                  <c:v> Psicosocial</c:v>
                </c:pt>
                <c:pt idx="6">
                  <c:v>Químico</c:v>
                </c:pt>
                <c:pt idx="7">
                  <c:v>TOTAL</c:v>
                </c:pt>
              </c:strCache>
            </c:strRef>
          </c:cat>
          <c:val>
            <c:numRef>
              <c:f>'% Cumplimiento'!$E$4:$E$11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E420-9146-9017-AF1201770FB3}"/>
            </c:ext>
          </c:extLst>
        </c:ser>
        <c:ser>
          <c:idx val="1"/>
          <c:order val="1"/>
          <c:tx>
            <c:strRef>
              <c:f>'% Cumplimiento'!$B$13</c:f>
              <c:strCache>
                <c:ptCount val="1"/>
                <c:pt idx="0">
                  <c:v>EVALUACIÓN 2026</c:v>
                </c:pt>
              </c:strCache>
            </c:strRef>
          </c:tx>
          <c:spPr>
            <a:solidFill>
              <a:schemeClr val="accent3">
                <a:lumMod val="75000"/>
              </a:schemeClr>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bg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Cumplimiento'!$B$14:$B$21</c:f>
              <c:strCache>
                <c:ptCount val="8"/>
                <c:pt idx="0">
                  <c:v>Requisitos Generales</c:v>
                </c:pt>
                <c:pt idx="1">
                  <c:v>Biológicos</c:v>
                </c:pt>
                <c:pt idx="2">
                  <c:v>De Seguridad</c:v>
                </c:pt>
                <c:pt idx="3">
                  <c:v>Biomecánicos</c:v>
                </c:pt>
                <c:pt idx="4">
                  <c:v>Físicos</c:v>
                </c:pt>
                <c:pt idx="5">
                  <c:v> Psicosocial</c:v>
                </c:pt>
                <c:pt idx="6">
                  <c:v>Químico</c:v>
                </c:pt>
                <c:pt idx="7">
                  <c:v>TOTAL</c:v>
                </c:pt>
              </c:strCache>
            </c:strRef>
          </c:cat>
          <c:val>
            <c:numRef>
              <c:f>'% Cumplimiento'!$E$14:$E$21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420-9146-9017-AF1201770FB3}"/>
            </c:ext>
          </c:extLst>
        </c:ser>
        <c:dLbls>
          <c:showLegendKey val="0"/>
          <c:showVal val="0"/>
          <c:showCatName val="0"/>
          <c:showSerName val="0"/>
          <c:showPercent val="0"/>
          <c:showBubbleSize val="0"/>
        </c:dLbls>
        <c:gapWidth val="150"/>
        <c:axId val="1940638752"/>
        <c:axId val="1940642016"/>
      </c:barChart>
      <c:catAx>
        <c:axId val="1940638752"/>
        <c:scaling>
          <c:orientation val="minMax"/>
        </c:scaling>
        <c:delete val="0"/>
        <c:axPos val="b"/>
        <c:numFmt formatCode="General" sourceLinked="0"/>
        <c:majorTickMark val="out"/>
        <c:minorTickMark val="none"/>
        <c:tickLblPos val="nextTo"/>
        <c:spPr>
          <a:noFill/>
          <a:ln w="9525" cap="flat" cmpd="sng" algn="ctr">
            <a:solidFill>
              <a:schemeClr val="dk1">
                <a:tint val="75000"/>
                <a:shade val="95000"/>
                <a:satMod val="105000"/>
              </a:schemeClr>
            </a:solidFill>
            <a:prstDash val="solid"/>
            <a:round/>
          </a:ln>
        </c:spPr>
        <c:txPr>
          <a:bodyPr rot="-6000000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s-CO"/>
          </a:p>
        </c:txPr>
        <c:crossAx val="1940642016"/>
        <c:crosses val="autoZero"/>
        <c:auto val="1"/>
        <c:lblAlgn val="ctr"/>
        <c:lblOffset val="100"/>
        <c:noMultiLvlLbl val="0"/>
      </c:catAx>
      <c:valAx>
        <c:axId val="1940642016"/>
        <c:scaling>
          <c:orientation val="minMax"/>
        </c:scaling>
        <c:delete val="0"/>
        <c:axPos val="l"/>
        <c:majorGridlines>
          <c:spPr>
            <a:ln w="9525" cap="flat" cmpd="sng" algn="ctr">
              <a:solidFill>
                <a:schemeClr val="dk1">
                  <a:tint val="75000"/>
                  <a:shade val="95000"/>
                  <a:satMod val="105000"/>
                </a:schemeClr>
              </a:solidFill>
              <a:prstDash val="solid"/>
              <a:round/>
            </a:ln>
          </c:spPr>
        </c:majorGridlines>
        <c:numFmt formatCode="0%" sourceLinked="1"/>
        <c:majorTickMark val="out"/>
        <c:minorTickMark val="none"/>
        <c:tickLblPos val="nextTo"/>
        <c:spPr>
          <a:noFill/>
          <a:ln w="9525" cap="flat" cmpd="sng" algn="ctr">
            <a:solidFill>
              <a:schemeClr val="dk1">
                <a:tint val="75000"/>
                <a:shade val="95000"/>
                <a:satMod val="105000"/>
              </a:schemeClr>
            </a:solidFill>
            <a:prstDash val="solid"/>
            <a:round/>
          </a:ln>
        </c:spPr>
        <c:txPr>
          <a:bodyPr rot="-6000000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s-CO"/>
          </a:p>
        </c:txPr>
        <c:crossAx val="1940638752"/>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s-CO"/>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strike="noStrike" kern="1200" baseline="0">
                <a:solidFill>
                  <a:sysClr val="windowText" lastClr="000000"/>
                </a:solidFill>
                <a:latin typeface="+mn-lt"/>
                <a:ea typeface="+mn-ea"/>
                <a:cs typeface="+mn-cs"/>
              </a:defRPr>
            </a:pPr>
            <a:r>
              <a:rPr lang="es-CO" sz="1050"/>
              <a:t>% DE CUMPLIMIENTO LEGAL</a:t>
            </a:r>
          </a:p>
        </c:rich>
      </c:tx>
      <c:overlay val="0"/>
      <c:spPr>
        <a:noFill/>
        <a:ln>
          <a:noFill/>
          <a:prstDash val="solid"/>
        </a:ln>
      </c:spPr>
    </c:title>
    <c:autoTitleDeleted val="0"/>
    <c:plotArea>
      <c:layout/>
      <c:barChart>
        <c:barDir val="col"/>
        <c:grouping val="clustered"/>
        <c:varyColors val="0"/>
        <c:ser>
          <c:idx val="0"/>
          <c:order val="0"/>
          <c:tx>
            <c:strRef>
              <c:f>'% Cumplimiento'!$B$3</c:f>
              <c:strCache>
                <c:ptCount val="1"/>
                <c:pt idx="0">
                  <c:v>EVALUACIÓN 2025</c:v>
                </c:pt>
              </c:strCache>
            </c:strRef>
          </c:tx>
          <c:spPr>
            <a:solidFill>
              <a:schemeClr val="accent6">
                <a:lumMod val="60000"/>
                <a:lumOff val="40000"/>
              </a:schemeClr>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Cumplimiento'!$B$14:$B$21</c:f>
              <c:strCache>
                <c:ptCount val="8"/>
                <c:pt idx="0">
                  <c:v>Requisitos Generales</c:v>
                </c:pt>
                <c:pt idx="1">
                  <c:v>Biológicos</c:v>
                </c:pt>
                <c:pt idx="2">
                  <c:v>De Seguridad</c:v>
                </c:pt>
                <c:pt idx="3">
                  <c:v>Biomecánicos</c:v>
                </c:pt>
                <c:pt idx="4">
                  <c:v>Físicos</c:v>
                </c:pt>
                <c:pt idx="5">
                  <c:v> Psicosocial</c:v>
                </c:pt>
                <c:pt idx="6">
                  <c:v>Químico</c:v>
                </c:pt>
                <c:pt idx="7">
                  <c:v>TOTAL</c:v>
                </c:pt>
              </c:strCache>
            </c:strRef>
          </c:cat>
          <c:val>
            <c:numRef>
              <c:f>'% Cumplimiento'!$E$4:$E$11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78E1-5248-8E57-9A1675426E7C}"/>
            </c:ext>
          </c:extLst>
        </c:ser>
        <c:ser>
          <c:idx val="1"/>
          <c:order val="1"/>
          <c:tx>
            <c:strRef>
              <c:f>'% Cumplimiento'!$B$13</c:f>
              <c:strCache>
                <c:ptCount val="1"/>
                <c:pt idx="0">
                  <c:v>EVALUACIÓN 2026</c:v>
                </c:pt>
              </c:strCache>
            </c:strRef>
          </c:tx>
          <c:spPr>
            <a:solidFill>
              <a:schemeClr val="accent3">
                <a:lumMod val="75000"/>
              </a:schemeClr>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bg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Cumplimiento'!$B$14:$B$21</c:f>
              <c:strCache>
                <c:ptCount val="8"/>
                <c:pt idx="0">
                  <c:v>Requisitos Generales</c:v>
                </c:pt>
                <c:pt idx="1">
                  <c:v>Biológicos</c:v>
                </c:pt>
                <c:pt idx="2">
                  <c:v>De Seguridad</c:v>
                </c:pt>
                <c:pt idx="3">
                  <c:v>Biomecánicos</c:v>
                </c:pt>
                <c:pt idx="4">
                  <c:v>Físicos</c:v>
                </c:pt>
                <c:pt idx="5">
                  <c:v> Psicosocial</c:v>
                </c:pt>
                <c:pt idx="6">
                  <c:v>Químico</c:v>
                </c:pt>
                <c:pt idx="7">
                  <c:v>TOTAL</c:v>
                </c:pt>
              </c:strCache>
            </c:strRef>
          </c:cat>
          <c:val>
            <c:numRef>
              <c:f>'% Cumplimiento'!$E$14:$E$21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78E1-5248-8E57-9A1675426E7C}"/>
            </c:ext>
          </c:extLst>
        </c:ser>
        <c:dLbls>
          <c:showLegendKey val="0"/>
          <c:showVal val="0"/>
          <c:showCatName val="0"/>
          <c:showSerName val="0"/>
          <c:showPercent val="0"/>
          <c:showBubbleSize val="0"/>
        </c:dLbls>
        <c:gapWidth val="150"/>
        <c:axId val="1940638752"/>
        <c:axId val="1940642016"/>
      </c:barChart>
      <c:catAx>
        <c:axId val="1940638752"/>
        <c:scaling>
          <c:orientation val="minMax"/>
        </c:scaling>
        <c:delete val="0"/>
        <c:axPos val="b"/>
        <c:numFmt formatCode="General" sourceLinked="0"/>
        <c:majorTickMark val="out"/>
        <c:minorTickMark val="none"/>
        <c:tickLblPos val="nextTo"/>
        <c:spPr>
          <a:noFill/>
          <a:ln w="9525" cap="flat" cmpd="sng" algn="ctr">
            <a:solidFill>
              <a:schemeClr val="dk1">
                <a:tint val="75000"/>
                <a:shade val="95000"/>
                <a:satMod val="105000"/>
              </a:schemeClr>
            </a:solidFill>
            <a:prstDash val="solid"/>
            <a:round/>
          </a:ln>
        </c:spPr>
        <c:txPr>
          <a:bodyPr rot="-6000000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s-CO"/>
          </a:p>
        </c:txPr>
        <c:crossAx val="1940642016"/>
        <c:crosses val="autoZero"/>
        <c:auto val="1"/>
        <c:lblAlgn val="ctr"/>
        <c:lblOffset val="100"/>
        <c:noMultiLvlLbl val="0"/>
      </c:catAx>
      <c:valAx>
        <c:axId val="1940642016"/>
        <c:scaling>
          <c:orientation val="minMax"/>
        </c:scaling>
        <c:delete val="0"/>
        <c:axPos val="l"/>
        <c:majorGridlines>
          <c:spPr>
            <a:ln w="9525" cap="flat" cmpd="sng" algn="ctr">
              <a:solidFill>
                <a:schemeClr val="dk1">
                  <a:tint val="75000"/>
                  <a:shade val="95000"/>
                  <a:satMod val="105000"/>
                </a:schemeClr>
              </a:solidFill>
              <a:prstDash val="solid"/>
              <a:round/>
            </a:ln>
          </c:spPr>
        </c:majorGridlines>
        <c:numFmt formatCode="0%" sourceLinked="1"/>
        <c:majorTickMark val="out"/>
        <c:minorTickMark val="none"/>
        <c:tickLblPos val="nextTo"/>
        <c:spPr>
          <a:noFill/>
          <a:ln w="9525" cap="flat" cmpd="sng" algn="ctr">
            <a:solidFill>
              <a:schemeClr val="dk1">
                <a:tint val="75000"/>
                <a:shade val="95000"/>
                <a:satMod val="105000"/>
              </a:schemeClr>
            </a:solidFill>
            <a:prstDash val="solid"/>
            <a:round/>
          </a:ln>
        </c:spPr>
        <c:txPr>
          <a:bodyPr rot="-6000000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s-CO"/>
          </a:p>
        </c:txPr>
        <c:crossAx val="1940638752"/>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800" b="0" i="0" strike="noStrike" kern="1200" baseline="0">
              <a:solidFill>
                <a:sysClr val="windowText" lastClr="000000"/>
              </a:solidFill>
              <a:latin typeface="+mn-lt"/>
              <a:ea typeface="+mn-ea"/>
              <a:cs typeface="+mn-cs"/>
            </a:defRPr>
          </a:pPr>
          <a:endParaRPr lang="es-CO"/>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16</xdr:col>
      <xdr:colOff>15874</xdr:colOff>
      <xdr:row>0</xdr:row>
      <xdr:rowOff>39685</xdr:rowOff>
    </xdr:from>
    <xdr:to>
      <xdr:col>25</xdr:col>
      <xdr:colOff>581201</xdr:colOff>
      <xdr:row>9</xdr:row>
      <xdr:rowOff>103187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162277</xdr:colOff>
      <xdr:row>1</xdr:row>
      <xdr:rowOff>121709</xdr:rowOff>
    </xdr:from>
    <xdr:to>
      <xdr:col>16</xdr:col>
      <xdr:colOff>338666</xdr:colOff>
      <xdr:row>14</xdr:row>
      <xdr:rowOff>159807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3:E11" totalsRowShown="0" headerRowDxfId="17" dataDxfId="15" headerRowBorderDxfId="16" tableBorderDxfId="14" totalsRowBorderDxfId="13" headerRowCellStyle="Normal 2 2">
  <autoFilter ref="B3:E11" xr:uid="{00000000-0009-0000-0100-000001000000}"/>
  <tableColumns count="4">
    <tableColumn id="1" xr3:uid="{00000000-0010-0000-0000-000001000000}" name="EVALUACIÓN 2025" dataDxfId="12" dataCellStyle="Normal 2 2"/>
    <tableColumn id="2" xr3:uid="{00000000-0010-0000-0000-000002000000}" name="Valor Máximo" dataDxfId="11" dataCellStyle="Normal 2 2"/>
    <tableColumn id="3" xr3:uid="{00000000-0010-0000-0000-000003000000}" name="Valor Obtenido" dataDxfId="10" dataCellStyle="Normal 2 2">
      <calculatedColumnFormula>#REF!</calculatedColumnFormula>
    </tableColumn>
    <tableColumn id="4" xr3:uid="{00000000-0010-0000-0000-000004000000}" name="% _x000a_Cumplimiento" dataDxfId="9" dataCellStyle="Normal 2 2">
      <calculatedColumnFormula>D4/C4</calculatedColumnFormula>
    </tableColumn>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13" displayName="Tabla13" ref="B13:E21" totalsRowShown="0" headerRowDxfId="8" dataDxfId="6" headerRowBorderDxfId="7" tableBorderDxfId="5" totalsRowBorderDxfId="4" headerRowCellStyle="Normal 2 2">
  <autoFilter ref="B13:E21" xr:uid="{00000000-0009-0000-0100-000002000000}"/>
  <tableColumns count="4">
    <tableColumn id="1" xr3:uid="{00000000-0010-0000-0100-000001000000}" name="EVALUACIÓN 2026" dataDxfId="3" dataCellStyle="Normal 2 2"/>
    <tableColumn id="2" xr3:uid="{00000000-0010-0000-0100-000002000000}" name="Valor Máximo" dataDxfId="2" dataCellStyle="Normal 2 2"/>
    <tableColumn id="3" xr3:uid="{00000000-0010-0000-0100-000003000000}" name="Valor Obtenido" dataDxfId="1" dataCellStyle="Normal 2 2">
      <calculatedColumnFormula>#REF!</calculatedColumnFormula>
    </tableColumn>
    <tableColumn id="4" xr3:uid="{00000000-0010-0000-0100-000004000000}" name="% Cumplimiento" dataDxfId="0" dataCellStyle="Normal 2 2">
      <calculatedColumnFormula>D14/C14</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uncionpublica.gov.co/eva/gestornormativo/norma.php?i=72173"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R11"/>
  <sheetViews>
    <sheetView showGridLines="0" zoomScale="90" zoomScaleNormal="90" workbookViewId="0">
      <selection activeCell="I34" sqref="I34"/>
    </sheetView>
  </sheetViews>
  <sheetFormatPr baseColWidth="10" defaultColWidth="9" defaultRowHeight="15"/>
  <cols>
    <col min="1" max="1" width="13.42578125" customWidth="1"/>
    <col min="2" max="2" width="1" customWidth="1"/>
    <col min="3" max="3" width="13.42578125" customWidth="1"/>
    <col min="4" max="4" width="1" customWidth="1"/>
    <col min="5" max="5" width="13.42578125" customWidth="1"/>
    <col min="6" max="6" width="1" customWidth="1"/>
    <col min="7" max="7" width="13.42578125" customWidth="1"/>
    <col min="8" max="8" width="1" customWidth="1"/>
    <col min="9" max="9" width="13.42578125" customWidth="1"/>
    <col min="10" max="10" width="1" customWidth="1"/>
    <col min="11" max="11" width="13.42578125" customWidth="1"/>
    <col min="12" max="12" width="1" customWidth="1"/>
    <col min="13" max="13" width="13.42578125" customWidth="1"/>
    <col min="14" max="14" width="1" customWidth="1"/>
    <col min="15" max="15" width="13.42578125" customWidth="1"/>
    <col min="16" max="16" width="1.42578125" customWidth="1"/>
    <col min="251" max="251" width="9" customWidth="1"/>
    <col min="255" max="255" width="3" customWidth="1"/>
    <col min="259" max="259" width="3" customWidth="1"/>
    <col min="263" max="263" width="3" customWidth="1"/>
    <col min="267" max="267" width="9" customWidth="1"/>
    <col min="507" max="507" width="9" customWidth="1"/>
    <col min="511" max="511" width="3" customWidth="1"/>
    <col min="515" max="515" width="3" customWidth="1"/>
    <col min="519" max="519" width="3" customWidth="1"/>
    <col min="523" max="523" width="9" customWidth="1"/>
    <col min="763" max="763" width="9" customWidth="1"/>
    <col min="767" max="767" width="3" customWidth="1"/>
    <col min="771" max="771" width="3" customWidth="1"/>
    <col min="775" max="775" width="3" customWidth="1"/>
    <col min="779" max="779" width="9" customWidth="1"/>
    <col min="1019" max="1019" width="9" customWidth="1"/>
    <col min="1023" max="1023" width="3" customWidth="1"/>
    <col min="1027" max="1027" width="3" customWidth="1"/>
    <col min="1031" max="1031" width="3" customWidth="1"/>
    <col min="1035" max="1035" width="9" customWidth="1"/>
    <col min="1275" max="1275" width="9" customWidth="1"/>
    <col min="1279" max="1279" width="3" customWidth="1"/>
    <col min="1283" max="1283" width="3" customWidth="1"/>
    <col min="1287" max="1287" width="3" customWidth="1"/>
    <col min="1291" max="1291" width="9" customWidth="1"/>
    <col min="1531" max="1531" width="9" customWidth="1"/>
    <col min="1535" max="1535" width="3" customWidth="1"/>
    <col min="1539" max="1539" width="3" customWidth="1"/>
    <col min="1543" max="1543" width="3" customWidth="1"/>
    <col min="1547" max="1547" width="9" customWidth="1"/>
    <col min="1787" max="1787" width="9" customWidth="1"/>
    <col min="1791" max="1791" width="3" customWidth="1"/>
    <col min="1795" max="1795" width="3" customWidth="1"/>
    <col min="1799" max="1799" width="3" customWidth="1"/>
    <col min="1803" max="1803" width="9" customWidth="1"/>
    <col min="2043" max="2043" width="9" customWidth="1"/>
    <col min="2047" max="2047" width="3" customWidth="1"/>
    <col min="2051" max="2051" width="3" customWidth="1"/>
    <col min="2055" max="2055" width="3" customWidth="1"/>
    <col min="2059" max="2059" width="9" customWidth="1"/>
    <col min="2299" max="2299" width="9" customWidth="1"/>
    <col min="2303" max="2303" width="3" customWidth="1"/>
    <col min="2307" max="2307" width="3" customWidth="1"/>
    <col min="2311" max="2311" width="3" customWidth="1"/>
    <col min="2315" max="2315" width="9" customWidth="1"/>
    <col min="2555" max="2555" width="9" customWidth="1"/>
    <col min="2559" max="2559" width="3" customWidth="1"/>
    <col min="2563" max="2563" width="3" customWidth="1"/>
    <col min="2567" max="2567" width="3" customWidth="1"/>
    <col min="2571" max="2571" width="9" customWidth="1"/>
    <col min="2811" max="2811" width="9" customWidth="1"/>
    <col min="2815" max="2815" width="3" customWidth="1"/>
    <col min="2819" max="2819" width="3" customWidth="1"/>
    <col min="2823" max="2823" width="3" customWidth="1"/>
    <col min="2827" max="2827" width="9" customWidth="1"/>
    <col min="3067" max="3067" width="9" customWidth="1"/>
    <col min="3071" max="3071" width="3" customWidth="1"/>
    <col min="3075" max="3075" width="3" customWidth="1"/>
    <col min="3079" max="3079" width="3" customWidth="1"/>
    <col min="3083" max="3083" width="9" customWidth="1"/>
    <col min="3323" max="3323" width="9" customWidth="1"/>
    <col min="3327" max="3327" width="3" customWidth="1"/>
    <col min="3331" max="3331" width="3" customWidth="1"/>
    <col min="3335" max="3335" width="3" customWidth="1"/>
    <col min="3339" max="3339" width="9" customWidth="1"/>
    <col min="3579" max="3579" width="9" customWidth="1"/>
    <col min="3583" max="3583" width="3" customWidth="1"/>
    <col min="3587" max="3587" width="3" customWidth="1"/>
    <col min="3591" max="3591" width="3" customWidth="1"/>
    <col min="3595" max="3595" width="9" customWidth="1"/>
    <col min="3835" max="3835" width="9" customWidth="1"/>
    <col min="3839" max="3839" width="3" customWidth="1"/>
    <col min="3843" max="3843" width="3" customWidth="1"/>
    <col min="3847" max="3847" width="3" customWidth="1"/>
    <col min="3851" max="3851" width="9" customWidth="1"/>
    <col min="4091" max="4091" width="9" customWidth="1"/>
    <col min="4095" max="4095" width="3" customWidth="1"/>
    <col min="4099" max="4099" width="3" customWidth="1"/>
    <col min="4103" max="4103" width="3" customWidth="1"/>
    <col min="4107" max="4107" width="9" customWidth="1"/>
    <col min="4347" max="4347" width="9" customWidth="1"/>
    <col min="4351" max="4351" width="3" customWidth="1"/>
    <col min="4355" max="4355" width="3" customWidth="1"/>
    <col min="4359" max="4359" width="3" customWidth="1"/>
    <col min="4363" max="4363" width="9" customWidth="1"/>
    <col min="4603" max="4603" width="9" customWidth="1"/>
    <col min="4607" max="4607" width="3" customWidth="1"/>
    <col min="4611" max="4611" width="3" customWidth="1"/>
    <col min="4615" max="4615" width="3" customWidth="1"/>
    <col min="4619" max="4619" width="9" customWidth="1"/>
    <col min="4859" max="4859" width="9" customWidth="1"/>
    <col min="4863" max="4863" width="3" customWidth="1"/>
    <col min="4867" max="4867" width="3" customWidth="1"/>
    <col min="4871" max="4871" width="3" customWidth="1"/>
    <col min="4875" max="4875" width="9" customWidth="1"/>
    <col min="5115" max="5115" width="9" customWidth="1"/>
    <col min="5119" max="5119" width="3" customWidth="1"/>
    <col min="5123" max="5123" width="3" customWidth="1"/>
    <col min="5127" max="5127" width="3" customWidth="1"/>
    <col min="5131" max="5131" width="9" customWidth="1"/>
    <col min="5371" max="5371" width="9" customWidth="1"/>
    <col min="5375" max="5375" width="3" customWidth="1"/>
    <col min="5379" max="5379" width="3" customWidth="1"/>
    <col min="5383" max="5383" width="3" customWidth="1"/>
    <col min="5387" max="5387" width="9" customWidth="1"/>
    <col min="5627" max="5627" width="9" customWidth="1"/>
    <col min="5631" max="5631" width="3" customWidth="1"/>
    <col min="5635" max="5635" width="3" customWidth="1"/>
    <col min="5639" max="5639" width="3" customWidth="1"/>
    <col min="5643" max="5643" width="9" customWidth="1"/>
    <col min="5883" max="5883" width="9" customWidth="1"/>
    <col min="5887" max="5887" width="3" customWidth="1"/>
    <col min="5891" max="5891" width="3" customWidth="1"/>
    <col min="5895" max="5895" width="3" customWidth="1"/>
    <col min="5899" max="5899" width="9" customWidth="1"/>
    <col min="6139" max="6139" width="9" customWidth="1"/>
    <col min="6143" max="6143" width="3" customWidth="1"/>
    <col min="6147" max="6147" width="3" customWidth="1"/>
    <col min="6151" max="6151" width="3" customWidth="1"/>
    <col min="6155" max="6155" width="9" customWidth="1"/>
    <col min="6395" max="6395" width="9" customWidth="1"/>
    <col min="6399" max="6399" width="3" customWidth="1"/>
    <col min="6403" max="6403" width="3" customWidth="1"/>
    <col min="6407" max="6407" width="3" customWidth="1"/>
    <col min="6411" max="6411" width="9" customWidth="1"/>
    <col min="6651" max="6651" width="9" customWidth="1"/>
    <col min="6655" max="6655" width="3" customWidth="1"/>
    <col min="6659" max="6659" width="3" customWidth="1"/>
    <col min="6663" max="6663" width="3" customWidth="1"/>
    <col min="6667" max="6667" width="9" customWidth="1"/>
    <col min="6907" max="6907" width="9" customWidth="1"/>
    <col min="6911" max="6911" width="3" customWidth="1"/>
    <col min="6915" max="6915" width="3" customWidth="1"/>
    <col min="6919" max="6919" width="3" customWidth="1"/>
    <col min="6923" max="6923" width="9" customWidth="1"/>
    <col min="7163" max="7163" width="9" customWidth="1"/>
    <col min="7167" max="7167" width="3" customWidth="1"/>
    <col min="7171" max="7171" width="3" customWidth="1"/>
    <col min="7175" max="7175" width="3" customWidth="1"/>
    <col min="7179" max="7179" width="9" customWidth="1"/>
    <col min="7419" max="7419" width="9" customWidth="1"/>
    <col min="7423" max="7423" width="3" customWidth="1"/>
    <col min="7427" max="7427" width="3" customWidth="1"/>
    <col min="7431" max="7431" width="3" customWidth="1"/>
    <col min="7435" max="7435" width="9" customWidth="1"/>
    <col min="7675" max="7675" width="9" customWidth="1"/>
    <col min="7679" max="7679" width="3" customWidth="1"/>
    <col min="7683" max="7683" width="3" customWidth="1"/>
    <col min="7687" max="7687" width="3" customWidth="1"/>
    <col min="7691" max="7691" width="9" customWidth="1"/>
    <col min="7931" max="7931" width="9" customWidth="1"/>
    <col min="7935" max="7935" width="3" customWidth="1"/>
    <col min="7939" max="7939" width="3" customWidth="1"/>
    <col min="7943" max="7943" width="3" customWidth="1"/>
    <col min="7947" max="7947" width="9" customWidth="1"/>
    <col min="8187" max="8187" width="9" customWidth="1"/>
    <col min="8191" max="8191" width="3" customWidth="1"/>
    <col min="8195" max="8195" width="3" customWidth="1"/>
    <col min="8199" max="8199" width="3" customWidth="1"/>
    <col min="8203" max="8203" width="9" customWidth="1"/>
    <col min="8443" max="8443" width="9" customWidth="1"/>
    <col min="8447" max="8447" width="3" customWidth="1"/>
    <col min="8451" max="8451" width="3" customWidth="1"/>
    <col min="8455" max="8455" width="3" customWidth="1"/>
    <col min="8459" max="8459" width="9" customWidth="1"/>
    <col min="8699" max="8699" width="9" customWidth="1"/>
    <col min="8703" max="8703" width="3" customWidth="1"/>
    <col min="8707" max="8707" width="3" customWidth="1"/>
    <col min="8711" max="8711" width="3" customWidth="1"/>
    <col min="8715" max="8715" width="9" customWidth="1"/>
    <col min="8955" max="8955" width="9" customWidth="1"/>
    <col min="8959" max="8959" width="3" customWidth="1"/>
    <col min="8963" max="8963" width="3" customWidth="1"/>
    <col min="8967" max="8967" width="3" customWidth="1"/>
    <col min="8971" max="8971" width="9" customWidth="1"/>
    <col min="9211" max="9211" width="9" customWidth="1"/>
    <col min="9215" max="9215" width="3" customWidth="1"/>
    <col min="9219" max="9219" width="3" customWidth="1"/>
    <col min="9223" max="9223" width="3" customWidth="1"/>
    <col min="9227" max="9227" width="9" customWidth="1"/>
    <col min="9467" max="9467" width="9" customWidth="1"/>
    <col min="9471" max="9471" width="3" customWidth="1"/>
    <col min="9475" max="9475" width="3" customWidth="1"/>
    <col min="9479" max="9479" width="3" customWidth="1"/>
    <col min="9483" max="9483" width="9" customWidth="1"/>
    <col min="9723" max="9723" width="9" customWidth="1"/>
    <col min="9727" max="9727" width="3" customWidth="1"/>
    <col min="9731" max="9731" width="3" customWidth="1"/>
    <col min="9735" max="9735" width="3" customWidth="1"/>
    <col min="9739" max="9739" width="9" customWidth="1"/>
    <col min="9979" max="9979" width="9" customWidth="1"/>
    <col min="9983" max="9983" width="3" customWidth="1"/>
    <col min="9987" max="9987" width="3" customWidth="1"/>
    <col min="9991" max="9991" width="3" customWidth="1"/>
    <col min="9995" max="9995" width="9" customWidth="1"/>
    <col min="10235" max="10235" width="9" customWidth="1"/>
    <col min="10239" max="10239" width="3" customWidth="1"/>
    <col min="10243" max="10243" width="3" customWidth="1"/>
    <col min="10247" max="10247" width="3" customWidth="1"/>
    <col min="10251" max="10251" width="9" customWidth="1"/>
    <col min="10491" max="10491" width="9" customWidth="1"/>
    <col min="10495" max="10495" width="3" customWidth="1"/>
    <col min="10499" max="10499" width="3" customWidth="1"/>
    <col min="10503" max="10503" width="3" customWidth="1"/>
    <col min="10507" max="10507" width="9" customWidth="1"/>
    <col min="10747" max="10747" width="9" customWidth="1"/>
    <col min="10751" max="10751" width="3" customWidth="1"/>
    <col min="10755" max="10755" width="3" customWidth="1"/>
    <col min="10759" max="10759" width="3" customWidth="1"/>
    <col min="10763" max="10763" width="9" customWidth="1"/>
    <col min="11003" max="11003" width="9" customWidth="1"/>
    <col min="11007" max="11007" width="3" customWidth="1"/>
    <col min="11011" max="11011" width="3" customWidth="1"/>
    <col min="11015" max="11015" width="3" customWidth="1"/>
    <col min="11019" max="11019" width="9" customWidth="1"/>
    <col min="11259" max="11259" width="9" customWidth="1"/>
    <col min="11263" max="11263" width="3" customWidth="1"/>
    <col min="11267" max="11267" width="3" customWidth="1"/>
    <col min="11271" max="11271" width="3" customWidth="1"/>
    <col min="11275" max="11275" width="9" customWidth="1"/>
    <col min="11515" max="11515" width="9" customWidth="1"/>
    <col min="11519" max="11519" width="3" customWidth="1"/>
    <col min="11523" max="11523" width="3" customWidth="1"/>
    <col min="11527" max="11527" width="3" customWidth="1"/>
    <col min="11531" max="11531" width="9" customWidth="1"/>
    <col min="11771" max="11771" width="9" customWidth="1"/>
    <col min="11775" max="11775" width="3" customWidth="1"/>
    <col min="11779" max="11779" width="3" customWidth="1"/>
    <col min="11783" max="11783" width="3" customWidth="1"/>
    <col min="11787" max="11787" width="9" customWidth="1"/>
    <col min="12027" max="12027" width="9" customWidth="1"/>
    <col min="12031" max="12031" width="3" customWidth="1"/>
    <col min="12035" max="12035" width="3" customWidth="1"/>
    <col min="12039" max="12039" width="3" customWidth="1"/>
    <col min="12043" max="12043" width="9" customWidth="1"/>
    <col min="12283" max="12283" width="9" customWidth="1"/>
    <col min="12287" max="12287" width="3" customWidth="1"/>
    <col min="12291" max="12291" width="3" customWidth="1"/>
    <col min="12295" max="12295" width="3" customWidth="1"/>
    <col min="12299" max="12299" width="9" customWidth="1"/>
    <col min="12539" max="12539" width="9" customWidth="1"/>
    <col min="12543" max="12543" width="3" customWidth="1"/>
    <col min="12547" max="12547" width="3" customWidth="1"/>
    <col min="12551" max="12551" width="3" customWidth="1"/>
    <col min="12555" max="12555" width="9" customWidth="1"/>
    <col min="12795" max="12795" width="9" customWidth="1"/>
    <col min="12799" max="12799" width="3" customWidth="1"/>
    <col min="12803" max="12803" width="3" customWidth="1"/>
    <col min="12807" max="12807" width="3" customWidth="1"/>
    <col min="12811" max="12811" width="9" customWidth="1"/>
    <col min="13051" max="13051" width="9" customWidth="1"/>
    <col min="13055" max="13055" width="3" customWidth="1"/>
    <col min="13059" max="13059" width="3" customWidth="1"/>
    <col min="13063" max="13063" width="3" customWidth="1"/>
    <col min="13067" max="13067" width="9" customWidth="1"/>
    <col min="13307" max="13307" width="9" customWidth="1"/>
    <col min="13311" max="13311" width="3" customWidth="1"/>
    <col min="13315" max="13315" width="3" customWidth="1"/>
    <col min="13319" max="13319" width="3" customWidth="1"/>
    <col min="13323" max="13323" width="9" customWidth="1"/>
    <col min="13563" max="13563" width="9" customWidth="1"/>
    <col min="13567" max="13567" width="3" customWidth="1"/>
    <col min="13571" max="13571" width="3" customWidth="1"/>
    <col min="13575" max="13575" width="3" customWidth="1"/>
    <col min="13579" max="13579" width="9" customWidth="1"/>
    <col min="13819" max="13819" width="9" customWidth="1"/>
    <col min="13823" max="13823" width="3" customWidth="1"/>
    <col min="13827" max="13827" width="3" customWidth="1"/>
    <col min="13831" max="13831" width="3" customWidth="1"/>
    <col min="13835" max="13835" width="9" customWidth="1"/>
    <col min="14075" max="14075" width="9" customWidth="1"/>
    <col min="14079" max="14079" width="3" customWidth="1"/>
    <col min="14083" max="14083" width="3" customWidth="1"/>
    <col min="14087" max="14087" width="3" customWidth="1"/>
    <col min="14091" max="14091" width="9" customWidth="1"/>
    <col min="14331" max="14331" width="9" customWidth="1"/>
    <col min="14335" max="14335" width="3" customWidth="1"/>
    <col min="14339" max="14339" width="3" customWidth="1"/>
    <col min="14343" max="14343" width="3" customWidth="1"/>
    <col min="14347" max="14347" width="9" customWidth="1"/>
    <col min="14587" max="14587" width="9" customWidth="1"/>
    <col min="14591" max="14591" width="3" customWidth="1"/>
    <col min="14595" max="14595" width="3" customWidth="1"/>
    <col min="14599" max="14599" width="3" customWidth="1"/>
    <col min="14603" max="14603" width="9" customWidth="1"/>
    <col min="14843" max="14843" width="9" customWidth="1"/>
    <col min="14847" max="14847" width="3" customWidth="1"/>
    <col min="14851" max="14851" width="3" customWidth="1"/>
    <col min="14855" max="14855" width="3" customWidth="1"/>
    <col min="14859" max="14859" width="9" customWidth="1"/>
    <col min="15099" max="15099" width="9" customWidth="1"/>
    <col min="15103" max="15103" width="3" customWidth="1"/>
    <col min="15107" max="15107" width="3" customWidth="1"/>
    <col min="15111" max="15111" width="3" customWidth="1"/>
    <col min="15115" max="15115" width="9" customWidth="1"/>
    <col min="15355" max="15355" width="9" customWidth="1"/>
    <col min="15359" max="15359" width="3" customWidth="1"/>
    <col min="15363" max="15363" width="3" customWidth="1"/>
    <col min="15367" max="15367" width="3" customWidth="1"/>
    <col min="15371" max="15371" width="9" customWidth="1"/>
    <col min="15611" max="15611" width="9" customWidth="1"/>
    <col min="15615" max="15615" width="3" customWidth="1"/>
    <col min="15619" max="15619" width="3" customWidth="1"/>
    <col min="15623" max="15623" width="3" customWidth="1"/>
    <col min="15627" max="15627" width="9" customWidth="1"/>
    <col min="15867" max="15867" width="9" customWidth="1"/>
    <col min="15871" max="15871" width="3" customWidth="1"/>
    <col min="15875" max="15875" width="3" customWidth="1"/>
    <col min="15879" max="15879" width="3" customWidth="1"/>
    <col min="15883" max="15883" width="9" customWidth="1"/>
    <col min="16123" max="16123" width="9" customWidth="1"/>
    <col min="16127" max="16127" width="3" customWidth="1"/>
    <col min="16131" max="16131" width="3" customWidth="1"/>
    <col min="16135" max="16135" width="3" customWidth="1"/>
    <col min="16139" max="16139" width="9" customWidth="1"/>
  </cols>
  <sheetData>
    <row r="1" spans="1:18" ht="11.85" customHeight="1">
      <c r="A1" s="30"/>
      <c r="B1" s="30"/>
      <c r="C1" s="30"/>
      <c r="D1" s="30"/>
      <c r="E1" s="31"/>
      <c r="F1" s="31"/>
      <c r="G1" s="31"/>
      <c r="H1" s="31"/>
      <c r="I1" s="31"/>
      <c r="J1" s="31"/>
      <c r="K1" s="31"/>
      <c r="L1" s="31"/>
      <c r="M1" s="31"/>
      <c r="N1" s="31"/>
      <c r="O1" s="31"/>
      <c r="P1" s="30"/>
    </row>
    <row r="2" spans="1:18" ht="11.1" customHeight="1">
      <c r="A2" s="30"/>
      <c r="B2" s="30"/>
      <c r="C2" s="30"/>
      <c r="D2" s="30"/>
      <c r="E2" s="31"/>
      <c r="F2" s="31"/>
      <c r="G2" s="31"/>
      <c r="H2" s="31"/>
      <c r="I2" s="31"/>
      <c r="J2" s="31"/>
      <c r="K2" s="31"/>
      <c r="L2" s="31"/>
      <c r="M2" s="31"/>
      <c r="N2" s="31"/>
      <c r="O2" s="31"/>
      <c r="P2" s="30"/>
    </row>
    <row r="3" spans="1:18" ht="11.1" customHeight="1">
      <c r="A3" s="30"/>
      <c r="B3" s="30"/>
      <c r="C3" s="30"/>
      <c r="D3" s="30"/>
      <c r="E3" s="31"/>
      <c r="F3" s="31"/>
      <c r="G3" s="31"/>
      <c r="H3" s="31"/>
      <c r="I3" s="31"/>
      <c r="J3" s="31"/>
      <c r="K3" s="31"/>
      <c r="L3" s="31"/>
      <c r="M3" s="31"/>
      <c r="N3" s="31"/>
      <c r="O3" s="31"/>
      <c r="P3" s="30"/>
    </row>
    <row r="4" spans="1:18" ht="11.1" customHeight="1">
      <c r="A4" s="30"/>
      <c r="B4" s="30"/>
      <c r="C4" s="30"/>
      <c r="D4" s="30"/>
      <c r="E4" s="31"/>
      <c r="F4" s="31"/>
      <c r="G4" s="31"/>
      <c r="H4" s="31"/>
      <c r="I4" s="31"/>
      <c r="J4" s="31"/>
      <c r="K4" s="31"/>
      <c r="L4" s="31"/>
      <c r="M4" s="31"/>
      <c r="N4" s="31"/>
      <c r="O4" s="31"/>
      <c r="P4" s="30"/>
    </row>
    <row r="5" spans="1:18" ht="26.85" customHeight="1">
      <c r="A5" s="30"/>
      <c r="B5" s="30"/>
      <c r="C5" s="131" t="s">
        <v>0</v>
      </c>
      <c r="D5" s="129"/>
      <c r="E5" s="129"/>
      <c r="F5" s="129"/>
      <c r="G5" s="129"/>
      <c r="H5" s="129"/>
      <c r="I5" s="129"/>
      <c r="J5" s="129"/>
      <c r="K5" s="129"/>
      <c r="L5" s="129"/>
      <c r="M5" s="129"/>
      <c r="N5" s="30"/>
      <c r="O5" s="30"/>
      <c r="P5" s="30"/>
    </row>
    <row r="6" spans="1:18" ht="11.1" customHeight="1">
      <c r="A6" s="30"/>
      <c r="B6" s="30"/>
      <c r="C6" s="30"/>
      <c r="D6" s="30"/>
      <c r="E6" s="31"/>
      <c r="F6" s="31"/>
      <c r="G6" s="31"/>
      <c r="H6" s="31"/>
      <c r="I6" s="31"/>
      <c r="J6" s="31"/>
      <c r="K6" s="31"/>
      <c r="L6" s="31"/>
      <c r="M6" s="31"/>
      <c r="N6" s="31"/>
      <c r="O6" s="31"/>
      <c r="P6" s="30"/>
    </row>
    <row r="7" spans="1:18" ht="63.6" customHeight="1">
      <c r="A7" s="66" t="s">
        <v>1</v>
      </c>
      <c r="B7" s="67"/>
      <c r="C7" s="68" t="s">
        <v>2</v>
      </c>
      <c r="D7" s="67"/>
      <c r="E7" s="64" t="s">
        <v>3</v>
      </c>
      <c r="F7" s="69"/>
      <c r="G7" s="64" t="s">
        <v>4</v>
      </c>
      <c r="H7" s="69"/>
      <c r="I7" s="64" t="s">
        <v>5</v>
      </c>
      <c r="J7" s="69"/>
      <c r="K7" s="64" t="s">
        <v>6</v>
      </c>
      <c r="L7" s="69"/>
      <c r="M7" s="63" t="s">
        <v>7</v>
      </c>
      <c r="N7" s="69"/>
      <c r="O7" s="66" t="s">
        <v>8</v>
      </c>
      <c r="P7" s="67"/>
      <c r="R7" s="29"/>
    </row>
    <row r="8" spans="1:18" ht="22.35" customHeight="1">
      <c r="A8" s="30"/>
      <c r="B8" s="30"/>
      <c r="C8" s="30"/>
      <c r="D8" s="30"/>
      <c r="E8" s="30"/>
      <c r="F8" s="30"/>
      <c r="G8" s="30"/>
      <c r="H8" s="30"/>
      <c r="I8" s="30"/>
      <c r="J8" s="30"/>
      <c r="K8" s="30"/>
      <c r="L8" s="30"/>
      <c r="M8" s="30"/>
      <c r="N8" s="30"/>
      <c r="O8" s="30"/>
      <c r="P8" s="30"/>
    </row>
    <row r="9" spans="1:18" ht="65.849999999999994" customHeight="1">
      <c r="A9" s="63" t="s">
        <v>9</v>
      </c>
      <c r="B9" s="30"/>
      <c r="C9" s="65" t="s">
        <v>10</v>
      </c>
      <c r="D9" s="30"/>
      <c r="E9" s="63" t="s">
        <v>11</v>
      </c>
      <c r="F9" s="30"/>
      <c r="G9" s="130" t="s">
        <v>12</v>
      </c>
      <c r="H9" s="129"/>
      <c r="I9" s="129"/>
      <c r="J9" s="129"/>
      <c r="K9" s="129"/>
      <c r="L9" s="30"/>
      <c r="M9" s="70" t="e">
        <f>'% Cumplimiento'!E11</f>
        <v>#REF!</v>
      </c>
      <c r="N9" s="30"/>
      <c r="O9" s="45" t="e">
        <f>#REF!+#REF!+#REF!+#REF!+#REF!+#REF!+#REF!</f>
        <v>#REF!</v>
      </c>
      <c r="P9" s="30"/>
    </row>
    <row r="10" spans="1:18" ht="9" customHeight="1">
      <c r="A10" s="30"/>
      <c r="B10" s="30"/>
      <c r="C10" s="30"/>
      <c r="D10" s="30"/>
      <c r="E10" s="30"/>
      <c r="F10" s="30"/>
      <c r="G10" s="30"/>
      <c r="H10" s="30"/>
      <c r="I10" s="30"/>
      <c r="J10" s="30"/>
      <c r="K10" s="30"/>
      <c r="L10" s="30"/>
      <c r="M10" s="30"/>
      <c r="N10" s="30"/>
      <c r="O10" s="30"/>
      <c r="P10" s="30"/>
    </row>
    <row r="11" spans="1:18" ht="70.5" customHeight="1">
      <c r="A11" s="128" t="s">
        <v>13</v>
      </c>
      <c r="B11" s="129"/>
      <c r="C11" s="129"/>
      <c r="D11" s="129"/>
      <c r="E11" s="129"/>
      <c r="F11" s="129"/>
      <c r="G11" s="129"/>
      <c r="H11" s="129"/>
      <c r="I11" s="129"/>
      <c r="J11" s="129"/>
      <c r="K11" s="129"/>
      <c r="L11" s="129"/>
      <c r="M11" s="129"/>
      <c r="N11" s="129"/>
      <c r="O11" s="129"/>
    </row>
  </sheetData>
  <mergeCells count="3">
    <mergeCell ref="A11:O11"/>
    <mergeCell ref="G9:K9"/>
    <mergeCell ref="C5:M5"/>
  </mergeCells>
  <hyperlinks>
    <hyperlink ref="C5" location="Procedimiento!A1" display="PROCEDIMIENTO PARA IDENTIFICAR, AGRUPAR, EVALUAR Y ACTUALIZAR LOS REQUISTOS LEGALES " xr:uid="{00000000-0004-0000-0000-000000000000}"/>
    <hyperlink ref="A7" location="'Requisitos generales'!A1" display="REQUISITOS GENERALES" xr:uid="{00000000-0004-0000-0000-000001000000}"/>
    <hyperlink ref="C7" location="'De Seguridad'!A1" display="'De Seguridad'!A1" xr:uid="{00000000-0004-0000-0000-000002000000}"/>
    <hyperlink ref="E7" location="Físicos!A1" display="FÍSICOS" xr:uid="{00000000-0004-0000-0000-000003000000}"/>
    <hyperlink ref="G7" location="Químico!A1" display="QUÍMICOS" xr:uid="{00000000-0004-0000-0000-000004000000}"/>
    <hyperlink ref="I7" location="Biológicos!A1" display="BIOLÓGICOS" xr:uid="{00000000-0004-0000-0000-000005000000}"/>
    <hyperlink ref="K7" location="Psicosocial!A1" display="PSICOSOCIAL" xr:uid="{00000000-0004-0000-0000-000006000000}"/>
    <hyperlink ref="M7" location="Biomecánicos!A1" display="BIOMECÁNICOS" xr:uid="{00000000-0004-0000-0000-000007000000}"/>
    <hyperlink ref="A9" location="Cambios!A1" display="CONTROL DE CAMBIOS" xr:uid="{00000000-0004-0000-0000-000008000000}"/>
    <hyperlink ref="C9" location="Sanciones!A1" display="TABLA DE SANCIONES" xr:uid="{00000000-0004-0000-0000-000009000000}"/>
    <hyperlink ref="E9" location="Otros!A1" display="Otros!A1" xr:uid="{00000000-0004-0000-0000-00000A000000}"/>
    <hyperlink ref="G9" location="'% Cumplimiento'!A1" display="INDICADOR DE CUMPLIMIENTO LEGAL" xr:uid="{00000000-0004-0000-0000-00000B000000}"/>
  </hyperlink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dimension ref="A1:I22"/>
  <sheetViews>
    <sheetView showGridLines="0" zoomScale="90" zoomScaleNormal="90" workbookViewId="0">
      <selection activeCell="D4" sqref="D4"/>
    </sheetView>
  </sheetViews>
  <sheetFormatPr baseColWidth="10" defaultColWidth="9" defaultRowHeight="12.75"/>
  <cols>
    <col min="1" max="1" width="5" style="3" customWidth="1"/>
    <col min="2" max="2" width="19" style="3" customWidth="1"/>
    <col min="3" max="3" width="13.140625" style="3" bestFit="1" customWidth="1"/>
    <col min="4" max="4" width="19.5703125" style="3" bestFit="1" customWidth="1"/>
    <col min="5" max="5" width="20.42578125" style="3" bestFit="1" customWidth="1"/>
    <col min="6" max="253" width="9" style="3" customWidth="1"/>
    <col min="254" max="254" width="46" style="3" customWidth="1"/>
    <col min="255" max="255" width="19" style="3" customWidth="1"/>
    <col min="256" max="256" width="20.42578125" style="3" customWidth="1"/>
    <col min="257" max="257" width="21.42578125" style="3" customWidth="1"/>
    <col min="258" max="509" width="9" style="3" customWidth="1"/>
    <col min="510" max="510" width="46" style="3" customWidth="1"/>
    <col min="511" max="511" width="19" style="3" customWidth="1"/>
    <col min="512" max="512" width="20.42578125" style="3" customWidth="1"/>
    <col min="513" max="513" width="21.42578125" style="3" customWidth="1"/>
    <col min="514" max="765" width="9" style="3" customWidth="1"/>
    <col min="766" max="766" width="46" style="3" customWidth="1"/>
    <col min="767" max="767" width="19" style="3" customWidth="1"/>
    <col min="768" max="768" width="20.42578125" style="3" customWidth="1"/>
    <col min="769" max="769" width="21.42578125" style="3" customWidth="1"/>
    <col min="770" max="1021" width="9" style="3" customWidth="1"/>
    <col min="1022" max="1022" width="46" style="3" customWidth="1"/>
    <col min="1023" max="1023" width="19" style="3" customWidth="1"/>
    <col min="1024" max="1024" width="20.42578125" style="3" customWidth="1"/>
    <col min="1025" max="1025" width="21.42578125" style="3" customWidth="1"/>
    <col min="1026" max="1277" width="9" style="3" customWidth="1"/>
    <col min="1278" max="1278" width="46" style="3" customWidth="1"/>
    <col min="1279" max="1279" width="19" style="3" customWidth="1"/>
    <col min="1280" max="1280" width="20.42578125" style="3" customWidth="1"/>
    <col min="1281" max="1281" width="21.42578125" style="3" customWidth="1"/>
    <col min="1282" max="1533" width="9" style="3" customWidth="1"/>
    <col min="1534" max="1534" width="46" style="3" customWidth="1"/>
    <col min="1535" max="1535" width="19" style="3" customWidth="1"/>
    <col min="1536" max="1536" width="20.42578125" style="3" customWidth="1"/>
    <col min="1537" max="1537" width="21.42578125" style="3" customWidth="1"/>
    <col min="1538" max="1789" width="9" style="3" customWidth="1"/>
    <col min="1790" max="1790" width="46" style="3" customWidth="1"/>
    <col min="1791" max="1791" width="19" style="3" customWidth="1"/>
    <col min="1792" max="1792" width="20.42578125" style="3" customWidth="1"/>
    <col min="1793" max="1793" width="21.42578125" style="3" customWidth="1"/>
    <col min="1794" max="2045" width="9" style="3" customWidth="1"/>
    <col min="2046" max="2046" width="46" style="3" customWidth="1"/>
    <col min="2047" max="2047" width="19" style="3" customWidth="1"/>
    <col min="2048" max="2048" width="20.42578125" style="3" customWidth="1"/>
    <col min="2049" max="2049" width="21.42578125" style="3" customWidth="1"/>
    <col min="2050" max="2301" width="9" style="3" customWidth="1"/>
    <col min="2302" max="2302" width="46" style="3" customWidth="1"/>
    <col min="2303" max="2303" width="19" style="3" customWidth="1"/>
    <col min="2304" max="2304" width="20.42578125" style="3" customWidth="1"/>
    <col min="2305" max="2305" width="21.42578125" style="3" customWidth="1"/>
    <col min="2306" max="2557" width="9" style="3" customWidth="1"/>
    <col min="2558" max="2558" width="46" style="3" customWidth="1"/>
    <col min="2559" max="2559" width="19" style="3" customWidth="1"/>
    <col min="2560" max="2560" width="20.42578125" style="3" customWidth="1"/>
    <col min="2561" max="2561" width="21.42578125" style="3" customWidth="1"/>
    <col min="2562" max="2813" width="9" style="3" customWidth="1"/>
    <col min="2814" max="2814" width="46" style="3" customWidth="1"/>
    <col min="2815" max="2815" width="19" style="3" customWidth="1"/>
    <col min="2816" max="2816" width="20.42578125" style="3" customWidth="1"/>
    <col min="2817" max="2817" width="21.42578125" style="3" customWidth="1"/>
    <col min="2818" max="3069" width="9" style="3" customWidth="1"/>
    <col min="3070" max="3070" width="46" style="3" customWidth="1"/>
    <col min="3071" max="3071" width="19" style="3" customWidth="1"/>
    <col min="3072" max="3072" width="20.42578125" style="3" customWidth="1"/>
    <col min="3073" max="3073" width="21.42578125" style="3" customWidth="1"/>
    <col min="3074" max="3325" width="9" style="3" customWidth="1"/>
    <col min="3326" max="3326" width="46" style="3" customWidth="1"/>
    <col min="3327" max="3327" width="19" style="3" customWidth="1"/>
    <col min="3328" max="3328" width="20.42578125" style="3" customWidth="1"/>
    <col min="3329" max="3329" width="21.42578125" style="3" customWidth="1"/>
    <col min="3330" max="3581" width="9" style="3" customWidth="1"/>
    <col min="3582" max="3582" width="46" style="3" customWidth="1"/>
    <col min="3583" max="3583" width="19" style="3" customWidth="1"/>
    <col min="3584" max="3584" width="20.42578125" style="3" customWidth="1"/>
    <col min="3585" max="3585" width="21.42578125" style="3" customWidth="1"/>
    <col min="3586" max="3837" width="9" style="3" customWidth="1"/>
    <col min="3838" max="3838" width="46" style="3" customWidth="1"/>
    <col min="3839" max="3839" width="19" style="3" customWidth="1"/>
    <col min="3840" max="3840" width="20.42578125" style="3" customWidth="1"/>
    <col min="3841" max="3841" width="21.42578125" style="3" customWidth="1"/>
    <col min="3842" max="4093" width="9" style="3" customWidth="1"/>
    <col min="4094" max="4094" width="46" style="3" customWidth="1"/>
    <col min="4095" max="4095" width="19" style="3" customWidth="1"/>
    <col min="4096" max="4096" width="20.42578125" style="3" customWidth="1"/>
    <col min="4097" max="4097" width="21.42578125" style="3" customWidth="1"/>
    <col min="4098" max="4349" width="9" style="3" customWidth="1"/>
    <col min="4350" max="4350" width="46" style="3" customWidth="1"/>
    <col min="4351" max="4351" width="19" style="3" customWidth="1"/>
    <col min="4352" max="4352" width="20.42578125" style="3" customWidth="1"/>
    <col min="4353" max="4353" width="21.42578125" style="3" customWidth="1"/>
    <col min="4354" max="4605" width="9" style="3" customWidth="1"/>
    <col min="4606" max="4606" width="46" style="3" customWidth="1"/>
    <col min="4607" max="4607" width="19" style="3" customWidth="1"/>
    <col min="4608" max="4608" width="20.42578125" style="3" customWidth="1"/>
    <col min="4609" max="4609" width="21.42578125" style="3" customWidth="1"/>
    <col min="4610" max="4861" width="9" style="3" customWidth="1"/>
    <col min="4862" max="4862" width="46" style="3" customWidth="1"/>
    <col min="4863" max="4863" width="19" style="3" customWidth="1"/>
    <col min="4864" max="4864" width="20.42578125" style="3" customWidth="1"/>
    <col min="4865" max="4865" width="21.42578125" style="3" customWidth="1"/>
    <col min="4866" max="5117" width="9" style="3" customWidth="1"/>
    <col min="5118" max="5118" width="46" style="3" customWidth="1"/>
    <col min="5119" max="5119" width="19" style="3" customWidth="1"/>
    <col min="5120" max="5120" width="20.42578125" style="3" customWidth="1"/>
    <col min="5121" max="5121" width="21.42578125" style="3" customWidth="1"/>
    <col min="5122" max="5373" width="9" style="3" customWidth="1"/>
    <col min="5374" max="5374" width="46" style="3" customWidth="1"/>
    <col min="5375" max="5375" width="19" style="3" customWidth="1"/>
    <col min="5376" max="5376" width="20.42578125" style="3" customWidth="1"/>
    <col min="5377" max="5377" width="21.42578125" style="3" customWidth="1"/>
    <col min="5378" max="5629" width="9" style="3" customWidth="1"/>
    <col min="5630" max="5630" width="46" style="3" customWidth="1"/>
    <col min="5631" max="5631" width="19" style="3" customWidth="1"/>
    <col min="5632" max="5632" width="20.42578125" style="3" customWidth="1"/>
    <col min="5633" max="5633" width="21.42578125" style="3" customWidth="1"/>
    <col min="5634" max="5885" width="9" style="3" customWidth="1"/>
    <col min="5886" max="5886" width="46" style="3" customWidth="1"/>
    <col min="5887" max="5887" width="19" style="3" customWidth="1"/>
    <col min="5888" max="5888" width="20.42578125" style="3" customWidth="1"/>
    <col min="5889" max="5889" width="21.42578125" style="3" customWidth="1"/>
    <col min="5890" max="6141" width="9" style="3" customWidth="1"/>
    <col min="6142" max="6142" width="46" style="3" customWidth="1"/>
    <col min="6143" max="6143" width="19" style="3" customWidth="1"/>
    <col min="6144" max="6144" width="20.42578125" style="3" customWidth="1"/>
    <col min="6145" max="6145" width="21.42578125" style="3" customWidth="1"/>
    <col min="6146" max="6397" width="9" style="3" customWidth="1"/>
    <col min="6398" max="6398" width="46" style="3" customWidth="1"/>
    <col min="6399" max="6399" width="19" style="3" customWidth="1"/>
    <col min="6400" max="6400" width="20.42578125" style="3" customWidth="1"/>
    <col min="6401" max="6401" width="21.42578125" style="3" customWidth="1"/>
    <col min="6402" max="6653" width="9" style="3" customWidth="1"/>
    <col min="6654" max="6654" width="46" style="3" customWidth="1"/>
    <col min="6655" max="6655" width="19" style="3" customWidth="1"/>
    <col min="6656" max="6656" width="20.42578125" style="3" customWidth="1"/>
    <col min="6657" max="6657" width="21.42578125" style="3" customWidth="1"/>
    <col min="6658" max="6909" width="9" style="3" customWidth="1"/>
    <col min="6910" max="6910" width="46" style="3" customWidth="1"/>
    <col min="6911" max="6911" width="19" style="3" customWidth="1"/>
    <col min="6912" max="6912" width="20.42578125" style="3" customWidth="1"/>
    <col min="6913" max="6913" width="21.42578125" style="3" customWidth="1"/>
    <col min="6914" max="7165" width="9" style="3" customWidth="1"/>
    <col min="7166" max="7166" width="46" style="3" customWidth="1"/>
    <col min="7167" max="7167" width="19" style="3" customWidth="1"/>
    <col min="7168" max="7168" width="20.42578125" style="3" customWidth="1"/>
    <col min="7169" max="7169" width="21.42578125" style="3" customWidth="1"/>
    <col min="7170" max="7421" width="9" style="3" customWidth="1"/>
    <col min="7422" max="7422" width="46" style="3" customWidth="1"/>
    <col min="7423" max="7423" width="19" style="3" customWidth="1"/>
    <col min="7424" max="7424" width="20.42578125" style="3" customWidth="1"/>
    <col min="7425" max="7425" width="21.42578125" style="3" customWidth="1"/>
    <col min="7426" max="7677" width="9" style="3" customWidth="1"/>
    <col min="7678" max="7678" width="46" style="3" customWidth="1"/>
    <col min="7679" max="7679" width="19" style="3" customWidth="1"/>
    <col min="7680" max="7680" width="20.42578125" style="3" customWidth="1"/>
    <col min="7681" max="7681" width="21.42578125" style="3" customWidth="1"/>
    <col min="7682" max="7933" width="9" style="3" customWidth="1"/>
    <col min="7934" max="7934" width="46" style="3" customWidth="1"/>
    <col min="7935" max="7935" width="19" style="3" customWidth="1"/>
    <col min="7936" max="7936" width="20.42578125" style="3" customWidth="1"/>
    <col min="7937" max="7937" width="21.42578125" style="3" customWidth="1"/>
    <col min="7938" max="8189" width="9" style="3" customWidth="1"/>
    <col min="8190" max="8190" width="46" style="3" customWidth="1"/>
    <col min="8191" max="8191" width="19" style="3" customWidth="1"/>
    <col min="8192" max="8192" width="20.42578125" style="3" customWidth="1"/>
    <col min="8193" max="8193" width="21.42578125" style="3" customWidth="1"/>
    <col min="8194" max="8445" width="9" style="3" customWidth="1"/>
    <col min="8446" max="8446" width="46" style="3" customWidth="1"/>
    <col min="8447" max="8447" width="19" style="3" customWidth="1"/>
    <col min="8448" max="8448" width="20.42578125" style="3" customWidth="1"/>
    <col min="8449" max="8449" width="21.42578125" style="3" customWidth="1"/>
    <col min="8450" max="8701" width="9" style="3" customWidth="1"/>
    <col min="8702" max="8702" width="46" style="3" customWidth="1"/>
    <col min="8703" max="8703" width="19" style="3" customWidth="1"/>
    <col min="8704" max="8704" width="20.42578125" style="3" customWidth="1"/>
    <col min="8705" max="8705" width="21.42578125" style="3" customWidth="1"/>
    <col min="8706" max="8957" width="9" style="3" customWidth="1"/>
    <col min="8958" max="8958" width="46" style="3" customWidth="1"/>
    <col min="8959" max="8959" width="19" style="3" customWidth="1"/>
    <col min="8960" max="8960" width="20.42578125" style="3" customWidth="1"/>
    <col min="8961" max="8961" width="21.42578125" style="3" customWidth="1"/>
    <col min="8962" max="9213" width="9" style="3" customWidth="1"/>
    <col min="9214" max="9214" width="46" style="3" customWidth="1"/>
    <col min="9215" max="9215" width="19" style="3" customWidth="1"/>
    <col min="9216" max="9216" width="20.42578125" style="3" customWidth="1"/>
    <col min="9217" max="9217" width="21.42578125" style="3" customWidth="1"/>
    <col min="9218" max="9469" width="9" style="3" customWidth="1"/>
    <col min="9470" max="9470" width="46" style="3" customWidth="1"/>
    <col min="9471" max="9471" width="19" style="3" customWidth="1"/>
    <col min="9472" max="9472" width="20.42578125" style="3" customWidth="1"/>
    <col min="9473" max="9473" width="21.42578125" style="3" customWidth="1"/>
    <col min="9474" max="9725" width="9" style="3" customWidth="1"/>
    <col min="9726" max="9726" width="46" style="3" customWidth="1"/>
    <col min="9727" max="9727" width="19" style="3" customWidth="1"/>
    <col min="9728" max="9728" width="20.42578125" style="3" customWidth="1"/>
    <col min="9729" max="9729" width="21.42578125" style="3" customWidth="1"/>
    <col min="9730" max="9981" width="9" style="3" customWidth="1"/>
    <col min="9982" max="9982" width="46" style="3" customWidth="1"/>
    <col min="9983" max="9983" width="19" style="3" customWidth="1"/>
    <col min="9984" max="9984" width="20.42578125" style="3" customWidth="1"/>
    <col min="9985" max="9985" width="21.42578125" style="3" customWidth="1"/>
    <col min="9986" max="10237" width="9" style="3" customWidth="1"/>
    <col min="10238" max="10238" width="46" style="3" customWidth="1"/>
    <col min="10239" max="10239" width="19" style="3" customWidth="1"/>
    <col min="10240" max="10240" width="20.42578125" style="3" customWidth="1"/>
    <col min="10241" max="10241" width="21.42578125" style="3" customWidth="1"/>
    <col min="10242" max="10493" width="9" style="3" customWidth="1"/>
    <col min="10494" max="10494" width="46" style="3" customWidth="1"/>
    <col min="10495" max="10495" width="19" style="3" customWidth="1"/>
    <col min="10496" max="10496" width="20.42578125" style="3" customWidth="1"/>
    <col min="10497" max="10497" width="21.42578125" style="3" customWidth="1"/>
    <col min="10498" max="10749" width="9" style="3" customWidth="1"/>
    <col min="10750" max="10750" width="46" style="3" customWidth="1"/>
    <col min="10751" max="10751" width="19" style="3" customWidth="1"/>
    <col min="10752" max="10752" width="20.42578125" style="3" customWidth="1"/>
    <col min="10753" max="10753" width="21.42578125" style="3" customWidth="1"/>
    <col min="10754" max="11005" width="9" style="3" customWidth="1"/>
    <col min="11006" max="11006" width="46" style="3" customWidth="1"/>
    <col min="11007" max="11007" width="19" style="3" customWidth="1"/>
    <col min="11008" max="11008" width="20.42578125" style="3" customWidth="1"/>
    <col min="11009" max="11009" width="21.42578125" style="3" customWidth="1"/>
    <col min="11010" max="11261" width="9" style="3" customWidth="1"/>
    <col min="11262" max="11262" width="46" style="3" customWidth="1"/>
    <col min="11263" max="11263" width="19" style="3" customWidth="1"/>
    <col min="11264" max="11264" width="20.42578125" style="3" customWidth="1"/>
    <col min="11265" max="11265" width="21.42578125" style="3" customWidth="1"/>
    <col min="11266" max="11517" width="9" style="3" customWidth="1"/>
    <col min="11518" max="11518" width="46" style="3" customWidth="1"/>
    <col min="11519" max="11519" width="19" style="3" customWidth="1"/>
    <col min="11520" max="11520" width="20.42578125" style="3" customWidth="1"/>
    <col min="11521" max="11521" width="21.42578125" style="3" customWidth="1"/>
    <col min="11522" max="11773" width="9" style="3" customWidth="1"/>
    <col min="11774" max="11774" width="46" style="3" customWidth="1"/>
    <col min="11775" max="11775" width="19" style="3" customWidth="1"/>
    <col min="11776" max="11776" width="20.42578125" style="3" customWidth="1"/>
    <col min="11777" max="11777" width="21.42578125" style="3" customWidth="1"/>
    <col min="11778" max="12029" width="9" style="3" customWidth="1"/>
    <col min="12030" max="12030" width="46" style="3" customWidth="1"/>
    <col min="12031" max="12031" width="19" style="3" customWidth="1"/>
    <col min="12032" max="12032" width="20.42578125" style="3" customWidth="1"/>
    <col min="12033" max="12033" width="21.42578125" style="3" customWidth="1"/>
    <col min="12034" max="12285" width="9" style="3" customWidth="1"/>
    <col min="12286" max="12286" width="46" style="3" customWidth="1"/>
    <col min="12287" max="12287" width="19" style="3" customWidth="1"/>
    <col min="12288" max="12288" width="20.42578125" style="3" customWidth="1"/>
    <col min="12289" max="12289" width="21.42578125" style="3" customWidth="1"/>
    <col min="12290" max="12541" width="9" style="3" customWidth="1"/>
    <col min="12542" max="12542" width="46" style="3" customWidth="1"/>
    <col min="12543" max="12543" width="19" style="3" customWidth="1"/>
    <col min="12544" max="12544" width="20.42578125" style="3" customWidth="1"/>
    <col min="12545" max="12545" width="21.42578125" style="3" customWidth="1"/>
    <col min="12546" max="12797" width="9" style="3" customWidth="1"/>
    <col min="12798" max="12798" width="46" style="3" customWidth="1"/>
    <col min="12799" max="12799" width="19" style="3" customWidth="1"/>
    <col min="12800" max="12800" width="20.42578125" style="3" customWidth="1"/>
    <col min="12801" max="12801" width="21.42578125" style="3" customWidth="1"/>
    <col min="12802" max="13053" width="9" style="3" customWidth="1"/>
    <col min="13054" max="13054" width="46" style="3" customWidth="1"/>
    <col min="13055" max="13055" width="19" style="3" customWidth="1"/>
    <col min="13056" max="13056" width="20.42578125" style="3" customWidth="1"/>
    <col min="13057" max="13057" width="21.42578125" style="3" customWidth="1"/>
    <col min="13058" max="13309" width="9" style="3" customWidth="1"/>
    <col min="13310" max="13310" width="46" style="3" customWidth="1"/>
    <col min="13311" max="13311" width="19" style="3" customWidth="1"/>
    <col min="13312" max="13312" width="20.42578125" style="3" customWidth="1"/>
    <col min="13313" max="13313" width="21.42578125" style="3" customWidth="1"/>
    <col min="13314" max="13565" width="9" style="3" customWidth="1"/>
    <col min="13566" max="13566" width="46" style="3" customWidth="1"/>
    <col min="13567" max="13567" width="19" style="3" customWidth="1"/>
    <col min="13568" max="13568" width="20.42578125" style="3" customWidth="1"/>
    <col min="13569" max="13569" width="21.42578125" style="3" customWidth="1"/>
    <col min="13570" max="13821" width="9" style="3" customWidth="1"/>
    <col min="13822" max="13822" width="46" style="3" customWidth="1"/>
    <col min="13823" max="13823" width="19" style="3" customWidth="1"/>
    <col min="13824" max="13824" width="20.42578125" style="3" customWidth="1"/>
    <col min="13825" max="13825" width="21.42578125" style="3" customWidth="1"/>
    <col min="13826" max="14077" width="9" style="3" customWidth="1"/>
    <col min="14078" max="14078" width="46" style="3" customWidth="1"/>
    <col min="14079" max="14079" width="19" style="3" customWidth="1"/>
    <col min="14080" max="14080" width="20.42578125" style="3" customWidth="1"/>
    <col min="14081" max="14081" width="21.42578125" style="3" customWidth="1"/>
    <col min="14082" max="14333" width="9" style="3" customWidth="1"/>
    <col min="14334" max="14334" width="46" style="3" customWidth="1"/>
    <col min="14335" max="14335" width="19" style="3" customWidth="1"/>
    <col min="14336" max="14336" width="20.42578125" style="3" customWidth="1"/>
    <col min="14337" max="14337" width="21.42578125" style="3" customWidth="1"/>
    <col min="14338" max="14589" width="9" style="3" customWidth="1"/>
    <col min="14590" max="14590" width="46" style="3" customWidth="1"/>
    <col min="14591" max="14591" width="19" style="3" customWidth="1"/>
    <col min="14592" max="14592" width="20.42578125" style="3" customWidth="1"/>
    <col min="14593" max="14593" width="21.42578125" style="3" customWidth="1"/>
    <col min="14594" max="14845" width="9" style="3" customWidth="1"/>
    <col min="14846" max="14846" width="46" style="3" customWidth="1"/>
    <col min="14847" max="14847" width="19" style="3" customWidth="1"/>
    <col min="14848" max="14848" width="20.42578125" style="3" customWidth="1"/>
    <col min="14849" max="14849" width="21.42578125" style="3" customWidth="1"/>
    <col min="14850" max="15101" width="9" style="3" customWidth="1"/>
    <col min="15102" max="15102" width="46" style="3" customWidth="1"/>
    <col min="15103" max="15103" width="19" style="3" customWidth="1"/>
    <col min="15104" max="15104" width="20.42578125" style="3" customWidth="1"/>
    <col min="15105" max="15105" width="21.42578125" style="3" customWidth="1"/>
    <col min="15106" max="15357" width="9" style="3" customWidth="1"/>
    <col min="15358" max="15358" width="46" style="3" customWidth="1"/>
    <col min="15359" max="15359" width="19" style="3" customWidth="1"/>
    <col min="15360" max="15360" width="20.42578125" style="3" customWidth="1"/>
    <col min="15361" max="15361" width="21.42578125" style="3" customWidth="1"/>
    <col min="15362" max="15613" width="9" style="3" customWidth="1"/>
    <col min="15614" max="15614" width="46" style="3" customWidth="1"/>
    <col min="15615" max="15615" width="19" style="3" customWidth="1"/>
    <col min="15616" max="15616" width="20.42578125" style="3" customWidth="1"/>
    <col min="15617" max="15617" width="21.42578125" style="3" customWidth="1"/>
    <col min="15618" max="15869" width="9" style="3" customWidth="1"/>
    <col min="15870" max="15870" width="46" style="3" customWidth="1"/>
    <col min="15871" max="15871" width="19" style="3" customWidth="1"/>
    <col min="15872" max="15872" width="20.42578125" style="3" customWidth="1"/>
    <col min="15873" max="15873" width="21.42578125" style="3" customWidth="1"/>
    <col min="15874" max="16125" width="9" style="3" customWidth="1"/>
    <col min="16126" max="16126" width="46" style="3" customWidth="1"/>
    <col min="16127" max="16127" width="19" style="3" customWidth="1"/>
    <col min="16128" max="16128" width="20.42578125" style="3" customWidth="1"/>
    <col min="16129" max="16129" width="21.42578125" style="3" customWidth="1"/>
    <col min="16130" max="16384" width="9" style="3" customWidth="1"/>
  </cols>
  <sheetData>
    <row r="1" spans="1:9" ht="36" customHeight="1" thickBot="1">
      <c r="A1" s="150"/>
      <c r="B1" s="151"/>
      <c r="C1" s="137" t="s">
        <v>14</v>
      </c>
      <c r="D1" s="138"/>
      <c r="E1" s="139"/>
      <c r="F1" s="135"/>
      <c r="G1" s="136"/>
    </row>
    <row r="2" spans="1:9" ht="19.5" customHeight="1" thickBot="1">
      <c r="A2" s="46"/>
      <c r="B2" s="140" t="s">
        <v>15</v>
      </c>
      <c r="C2" s="136"/>
      <c r="D2" s="136"/>
      <c r="E2" s="136"/>
    </row>
    <row r="3" spans="1:9" ht="49.35" customHeight="1" thickBot="1">
      <c r="A3" s="46"/>
      <c r="B3" s="47" t="s">
        <v>16</v>
      </c>
      <c r="C3" s="48" t="s">
        <v>17</v>
      </c>
      <c r="D3" s="48" t="s">
        <v>18</v>
      </c>
      <c r="E3" s="49" t="s">
        <v>19</v>
      </c>
      <c r="F3" s="141" t="s">
        <v>20</v>
      </c>
      <c r="G3" s="142"/>
      <c r="H3" s="142"/>
      <c r="I3" s="143"/>
    </row>
    <row r="4" spans="1:9" ht="17.100000000000001" customHeight="1" thickBot="1">
      <c r="A4" s="132" t="s">
        <v>21</v>
      </c>
      <c r="B4" s="50" t="s">
        <v>22</v>
      </c>
      <c r="C4" s="51">
        <v>70</v>
      </c>
      <c r="D4" s="52" t="e">
        <f>#REF!</f>
        <v>#REF!</v>
      </c>
      <c r="E4" s="53" t="e">
        <f t="shared" ref="E4:E10" si="0">D4/C4</f>
        <v>#REF!</v>
      </c>
      <c r="F4" s="144"/>
      <c r="G4" s="136"/>
      <c r="H4" s="136"/>
      <c r="I4" s="145"/>
    </row>
    <row r="5" spans="1:9" ht="17.100000000000001" customHeight="1" thickBot="1">
      <c r="A5" s="133"/>
      <c r="B5" s="50" t="s">
        <v>23</v>
      </c>
      <c r="C5" s="51">
        <v>10</v>
      </c>
      <c r="D5" s="52" t="e">
        <f>#REF!</f>
        <v>#REF!</v>
      </c>
      <c r="E5" s="53" t="e">
        <f t="shared" si="0"/>
        <v>#REF!</v>
      </c>
      <c r="F5" s="144"/>
      <c r="G5" s="136"/>
      <c r="H5" s="136"/>
      <c r="I5" s="145"/>
    </row>
    <row r="6" spans="1:9" ht="17.100000000000001" customHeight="1" thickBot="1">
      <c r="A6" s="133"/>
      <c r="B6" s="50" t="s">
        <v>24</v>
      </c>
      <c r="C6" s="51">
        <v>55</v>
      </c>
      <c r="D6" s="52" t="e">
        <f>#REF!</f>
        <v>#REF!</v>
      </c>
      <c r="E6" s="53" t="e">
        <f t="shared" si="0"/>
        <v>#REF!</v>
      </c>
      <c r="F6" s="144"/>
      <c r="G6" s="136"/>
      <c r="H6" s="136"/>
      <c r="I6" s="145"/>
    </row>
    <row r="7" spans="1:9" ht="17.100000000000001" customHeight="1" thickBot="1">
      <c r="A7" s="133"/>
      <c r="B7" s="50" t="s">
        <v>25</v>
      </c>
      <c r="C7" s="51">
        <v>5</v>
      </c>
      <c r="D7" s="52" t="e">
        <f>#REF!</f>
        <v>#REF!</v>
      </c>
      <c r="E7" s="53" t="e">
        <f t="shared" si="0"/>
        <v>#REF!</v>
      </c>
      <c r="F7" s="144"/>
      <c r="G7" s="136"/>
      <c r="H7" s="136"/>
      <c r="I7" s="145"/>
    </row>
    <row r="8" spans="1:9" ht="17.100000000000001" customHeight="1" thickBot="1">
      <c r="A8" s="133"/>
      <c r="B8" s="50" t="s">
        <v>26</v>
      </c>
      <c r="C8" s="51">
        <v>30</v>
      </c>
      <c r="D8" s="52" t="e">
        <f>#REF!</f>
        <v>#REF!</v>
      </c>
      <c r="E8" s="53" t="e">
        <f t="shared" si="0"/>
        <v>#REF!</v>
      </c>
      <c r="F8" s="144"/>
      <c r="G8" s="136"/>
      <c r="H8" s="136"/>
      <c r="I8" s="145"/>
    </row>
    <row r="9" spans="1:9" ht="17.100000000000001" customHeight="1" thickBot="1">
      <c r="A9" s="133"/>
      <c r="B9" s="50" t="s">
        <v>27</v>
      </c>
      <c r="C9" s="51">
        <v>5</v>
      </c>
      <c r="D9" s="52" t="e">
        <f>#REF!</f>
        <v>#REF!</v>
      </c>
      <c r="E9" s="53" t="e">
        <f t="shared" si="0"/>
        <v>#REF!</v>
      </c>
      <c r="F9" s="144"/>
      <c r="G9" s="136"/>
      <c r="H9" s="136"/>
      <c r="I9" s="145"/>
    </row>
    <row r="10" spans="1:9" ht="17.100000000000001" customHeight="1" thickBot="1">
      <c r="A10" s="134"/>
      <c r="B10" s="54" t="s">
        <v>28</v>
      </c>
      <c r="C10" s="55">
        <v>15</v>
      </c>
      <c r="D10" s="56" t="e">
        <f>#REF!</f>
        <v>#REF!</v>
      </c>
      <c r="E10" s="57" t="e">
        <f t="shared" si="0"/>
        <v>#REF!</v>
      </c>
      <c r="F10" s="144"/>
      <c r="G10" s="136"/>
      <c r="H10" s="136"/>
      <c r="I10" s="145"/>
    </row>
    <row r="11" spans="1:9" ht="17.100000000000001" customHeight="1" thickBot="1">
      <c r="A11" s="46"/>
      <c r="B11" s="54" t="s">
        <v>29</v>
      </c>
      <c r="C11" s="55">
        <f>(C4+C5+C6+C7+C8+C9+C10)/7</f>
        <v>27.142857142857142</v>
      </c>
      <c r="D11" s="56" t="e">
        <f>D4+D5+D6+D7+D8+D9+D10/7</f>
        <v>#REF!</v>
      </c>
      <c r="E11" s="57" t="e">
        <f>AVERAGE(E4:E10)</f>
        <v>#REF!</v>
      </c>
      <c r="F11" s="146"/>
      <c r="G11" s="147"/>
      <c r="H11" s="147"/>
      <c r="I11" s="148"/>
    </row>
    <row r="12" spans="1:9" ht="15.95" customHeight="1" thickBot="1">
      <c r="A12" s="46"/>
      <c r="B12" s="149" t="s">
        <v>30</v>
      </c>
      <c r="C12" s="142"/>
      <c r="D12" s="142"/>
      <c r="E12" s="142"/>
      <c r="F12" s="8"/>
      <c r="G12" s="8"/>
      <c r="H12" s="8"/>
      <c r="I12" s="8"/>
    </row>
    <row r="13" spans="1:9" ht="33" customHeight="1" thickBot="1">
      <c r="A13" s="46"/>
      <c r="B13" s="47" t="s">
        <v>31</v>
      </c>
      <c r="C13" s="48" t="s">
        <v>17</v>
      </c>
      <c r="D13" s="48" t="s">
        <v>18</v>
      </c>
      <c r="E13" s="49" t="s">
        <v>32</v>
      </c>
      <c r="F13" s="141" t="s">
        <v>20</v>
      </c>
      <c r="G13" s="142"/>
      <c r="H13" s="142"/>
      <c r="I13" s="143"/>
    </row>
    <row r="14" spans="1:9" ht="17.100000000000001" customHeight="1" thickBot="1">
      <c r="A14" s="132" t="s">
        <v>21</v>
      </c>
      <c r="B14" s="50" t="s">
        <v>22</v>
      </c>
      <c r="C14" s="51">
        <v>70</v>
      </c>
      <c r="D14" s="52" t="e">
        <f>#REF!</f>
        <v>#REF!</v>
      </c>
      <c r="E14" s="53" t="e">
        <f>Tabla13[[#This Row],[Valor Obtenido]]/Tabla13[[#This Row],[Valor Máximo]]</f>
        <v>#REF!</v>
      </c>
      <c r="F14" s="144"/>
      <c r="G14" s="136"/>
      <c r="H14" s="136"/>
      <c r="I14" s="145"/>
    </row>
    <row r="15" spans="1:9" ht="17.100000000000001" customHeight="1" thickBot="1">
      <c r="A15" s="133"/>
      <c r="B15" s="50" t="s">
        <v>23</v>
      </c>
      <c r="C15" s="51">
        <v>10</v>
      </c>
      <c r="D15" s="52" t="e">
        <f>#REF!</f>
        <v>#REF!</v>
      </c>
      <c r="E15" s="53" t="e">
        <f t="shared" ref="E15:E20" si="1">D15/C15</f>
        <v>#REF!</v>
      </c>
      <c r="F15" s="144"/>
      <c r="G15" s="136"/>
      <c r="H15" s="136"/>
      <c r="I15" s="145"/>
    </row>
    <row r="16" spans="1:9" ht="17.100000000000001" customHeight="1" thickBot="1">
      <c r="A16" s="133"/>
      <c r="B16" s="50" t="s">
        <v>24</v>
      </c>
      <c r="C16" s="51">
        <v>55</v>
      </c>
      <c r="D16" s="52" t="e">
        <f>#REF!</f>
        <v>#REF!</v>
      </c>
      <c r="E16" s="53" t="e">
        <f t="shared" si="1"/>
        <v>#REF!</v>
      </c>
      <c r="F16" s="144"/>
      <c r="G16" s="136"/>
      <c r="H16" s="136"/>
      <c r="I16" s="145"/>
    </row>
    <row r="17" spans="1:9" ht="17.100000000000001" customHeight="1" thickBot="1">
      <c r="A17" s="133"/>
      <c r="B17" s="50" t="s">
        <v>25</v>
      </c>
      <c r="C17" s="51">
        <v>5</v>
      </c>
      <c r="D17" s="52" t="e">
        <f>#REF!</f>
        <v>#REF!</v>
      </c>
      <c r="E17" s="53" t="e">
        <f t="shared" si="1"/>
        <v>#REF!</v>
      </c>
      <c r="F17" s="144"/>
      <c r="G17" s="136"/>
      <c r="H17" s="136"/>
      <c r="I17" s="145"/>
    </row>
    <row r="18" spans="1:9" ht="17.100000000000001" customHeight="1" thickBot="1">
      <c r="A18" s="133"/>
      <c r="B18" s="50" t="s">
        <v>26</v>
      </c>
      <c r="C18" s="51">
        <v>30</v>
      </c>
      <c r="D18" s="52" t="e">
        <f>#REF!</f>
        <v>#REF!</v>
      </c>
      <c r="E18" s="53" t="e">
        <f t="shared" si="1"/>
        <v>#REF!</v>
      </c>
      <c r="F18" s="144"/>
      <c r="G18" s="136"/>
      <c r="H18" s="136"/>
      <c r="I18" s="145"/>
    </row>
    <row r="19" spans="1:9" ht="17.100000000000001" customHeight="1" thickBot="1">
      <c r="A19" s="133"/>
      <c r="B19" s="50" t="s">
        <v>27</v>
      </c>
      <c r="C19" s="51">
        <v>5</v>
      </c>
      <c r="D19" s="52" t="e">
        <f>#REF!</f>
        <v>#REF!</v>
      </c>
      <c r="E19" s="53" t="e">
        <f t="shared" si="1"/>
        <v>#REF!</v>
      </c>
      <c r="F19" s="144"/>
      <c r="G19" s="136"/>
      <c r="H19" s="136"/>
      <c r="I19" s="145"/>
    </row>
    <row r="20" spans="1:9" ht="17.100000000000001" customHeight="1" thickBot="1">
      <c r="A20" s="134"/>
      <c r="B20" s="54" t="s">
        <v>28</v>
      </c>
      <c r="C20" s="55">
        <v>15</v>
      </c>
      <c r="D20" s="56" t="e">
        <f>#REF!</f>
        <v>#REF!</v>
      </c>
      <c r="E20" s="57" t="e">
        <f t="shared" si="1"/>
        <v>#REF!</v>
      </c>
      <c r="F20" s="144"/>
      <c r="G20" s="136"/>
      <c r="H20" s="136"/>
      <c r="I20" s="145"/>
    </row>
    <row r="21" spans="1:9" ht="17.100000000000001" customHeight="1" thickBot="1">
      <c r="A21" s="46"/>
      <c r="B21" s="54" t="s">
        <v>29</v>
      </c>
      <c r="C21" s="55">
        <f>(C14+C15+C16+C17+C18+C19+C20)/7</f>
        <v>27.142857142857142</v>
      </c>
      <c r="D21" s="56" t="e">
        <f>D14+D15+D16+D17+D18+D19+D20/7</f>
        <v>#REF!</v>
      </c>
      <c r="E21" s="57" t="e">
        <f>AVERAGE(E13:E20)</f>
        <v>#REF!</v>
      </c>
      <c r="F21" s="146"/>
      <c r="G21" s="147"/>
      <c r="H21" s="147"/>
      <c r="I21" s="148"/>
    </row>
    <row r="22" spans="1:9" ht="18.95" customHeight="1">
      <c r="B22" s="9"/>
      <c r="C22" s="10"/>
      <c r="D22" s="11"/>
      <c r="E22" s="12"/>
      <c r="F22" s="8"/>
      <c r="G22" s="8"/>
      <c r="H22" s="8"/>
      <c r="I22" s="8"/>
    </row>
  </sheetData>
  <mergeCells count="9">
    <mergeCell ref="A4:A10"/>
    <mergeCell ref="A14:A20"/>
    <mergeCell ref="F1:G1"/>
    <mergeCell ref="C1:E1"/>
    <mergeCell ref="B2:E2"/>
    <mergeCell ref="F3:I11"/>
    <mergeCell ref="F13:I21"/>
    <mergeCell ref="B12:E12"/>
    <mergeCell ref="A1:B1"/>
  </mergeCells>
  <pageMargins left="0.7" right="0.7" top="0.75" bottom="0.75" header="0.3" footer="0.3"/>
  <pageSetup orientation="portrait" horizontalDpi="4294967294" verticalDpi="4294967294"/>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413D-B88D-5A40-9FA0-ED13657585FB}">
  <dimension ref="A1:L312"/>
  <sheetViews>
    <sheetView tabSelected="1" topLeftCell="C1" zoomScale="130" zoomScaleNormal="130" workbookViewId="0">
      <selection activeCell="F313" sqref="F313"/>
    </sheetView>
  </sheetViews>
  <sheetFormatPr baseColWidth="10" defaultColWidth="8.85546875" defaultRowHeight="15"/>
  <cols>
    <col min="1" max="1" width="19.28515625" style="77" customWidth="1"/>
    <col min="2" max="2" width="35.7109375" style="77" customWidth="1"/>
    <col min="3" max="3" width="36.28515625" style="78" customWidth="1"/>
    <col min="4" max="4" width="23.85546875" style="78" customWidth="1"/>
    <col min="5" max="5" width="35.5703125" style="78" customWidth="1"/>
    <col min="6" max="6" width="77.140625" style="78" customWidth="1"/>
    <col min="7" max="7" width="14" style="72" customWidth="1"/>
    <col min="8" max="8" width="10.140625" style="72" customWidth="1"/>
    <col min="9" max="9" width="15" style="78" customWidth="1"/>
    <col min="10" max="10" width="14.140625" style="78" customWidth="1"/>
    <col min="11" max="11" width="8.85546875" style="78"/>
    <col min="12" max="12" width="38.85546875" style="78" customWidth="1"/>
    <col min="13" max="16384" width="8.85546875" style="71"/>
  </cols>
  <sheetData>
    <row r="1" spans="1:12" s="73" customFormat="1" ht="45">
      <c r="A1" s="80" t="s">
        <v>39</v>
      </c>
      <c r="B1" s="80" t="s">
        <v>40</v>
      </c>
      <c r="C1" s="80" t="s">
        <v>410</v>
      </c>
      <c r="D1" s="80" t="s">
        <v>430</v>
      </c>
      <c r="E1" s="80" t="s">
        <v>411</v>
      </c>
      <c r="F1" s="80" t="s">
        <v>34</v>
      </c>
      <c r="G1" s="79" t="s">
        <v>1312</v>
      </c>
      <c r="H1" s="79" t="s">
        <v>1313</v>
      </c>
      <c r="I1" s="80" t="s">
        <v>35</v>
      </c>
      <c r="J1" s="80" t="s">
        <v>36</v>
      </c>
      <c r="K1" s="80" t="s">
        <v>37</v>
      </c>
      <c r="L1" s="80" t="s">
        <v>38</v>
      </c>
    </row>
    <row r="2" spans="1:12" ht="270" customHeight="1">
      <c r="A2" s="74" t="s">
        <v>433</v>
      </c>
      <c r="B2" s="98" t="s">
        <v>437</v>
      </c>
      <c r="C2" s="76" t="s">
        <v>436</v>
      </c>
      <c r="D2" s="76">
        <v>1950</v>
      </c>
      <c r="E2" s="75" t="s">
        <v>1294</v>
      </c>
      <c r="F2" s="75" t="s">
        <v>1295</v>
      </c>
      <c r="G2" s="76">
        <v>5</v>
      </c>
      <c r="H2" s="76">
        <v>0</v>
      </c>
      <c r="I2" s="75"/>
      <c r="J2" s="75"/>
      <c r="K2" s="75"/>
      <c r="L2" s="75"/>
    </row>
    <row r="3" spans="1:12" ht="408.95" customHeight="1">
      <c r="A3" s="74" t="s">
        <v>558</v>
      </c>
      <c r="B3" s="83" t="s">
        <v>634</v>
      </c>
      <c r="C3" s="76" t="s">
        <v>547</v>
      </c>
      <c r="D3" s="76">
        <v>1950</v>
      </c>
      <c r="E3" s="75" t="s">
        <v>635</v>
      </c>
      <c r="F3" s="75" t="s">
        <v>636</v>
      </c>
      <c r="G3" s="76">
        <v>5</v>
      </c>
      <c r="H3" s="76">
        <v>0</v>
      </c>
      <c r="I3" s="75"/>
      <c r="J3" s="75"/>
      <c r="K3" s="75"/>
      <c r="L3" s="75"/>
    </row>
    <row r="4" spans="1:12" ht="270" customHeight="1">
      <c r="A4" s="74" t="s">
        <v>639</v>
      </c>
      <c r="B4" s="74" t="s">
        <v>720</v>
      </c>
      <c r="C4" s="76" t="s">
        <v>547</v>
      </c>
      <c r="D4" s="76">
        <v>1950</v>
      </c>
      <c r="E4" s="75" t="s">
        <v>719</v>
      </c>
      <c r="F4" s="75" t="s">
        <v>1314</v>
      </c>
      <c r="G4" s="76">
        <v>5</v>
      </c>
      <c r="H4" s="76">
        <v>0</v>
      </c>
      <c r="I4" s="75" t="s">
        <v>94</v>
      </c>
      <c r="J4" s="75"/>
      <c r="K4" s="75"/>
      <c r="L4" s="75"/>
    </row>
    <row r="5" spans="1:12" ht="270" customHeight="1">
      <c r="A5" s="74" t="s">
        <v>176</v>
      </c>
      <c r="B5" s="83" t="s">
        <v>192</v>
      </c>
      <c r="C5" s="76" t="s">
        <v>1013</v>
      </c>
      <c r="D5" s="76">
        <v>1979</v>
      </c>
      <c r="E5" s="75" t="s">
        <v>1071</v>
      </c>
      <c r="F5" s="75" t="s">
        <v>1315</v>
      </c>
      <c r="G5" s="76"/>
      <c r="H5" s="76">
        <v>0</v>
      </c>
      <c r="I5" s="75" t="s">
        <v>51</v>
      </c>
      <c r="J5" s="75" t="s">
        <v>44</v>
      </c>
      <c r="K5" s="75">
        <v>2025</v>
      </c>
      <c r="L5" s="75"/>
    </row>
    <row r="6" spans="1:12" ht="270" customHeight="1">
      <c r="A6" s="74" t="s">
        <v>433</v>
      </c>
      <c r="B6" s="77" t="s">
        <v>1085</v>
      </c>
      <c r="C6" s="76" t="s">
        <v>1013</v>
      </c>
      <c r="D6" s="76">
        <v>1979</v>
      </c>
      <c r="E6" s="75" t="s">
        <v>1084</v>
      </c>
      <c r="F6" s="75" t="s">
        <v>1086</v>
      </c>
      <c r="G6" s="76">
        <v>5</v>
      </c>
      <c r="H6" s="76">
        <v>0</v>
      </c>
      <c r="I6" s="75"/>
      <c r="J6" s="75"/>
      <c r="K6" s="75"/>
      <c r="L6" s="75"/>
    </row>
    <row r="7" spans="1:12" ht="372.75" customHeight="1">
      <c r="A7" s="74" t="s">
        <v>24</v>
      </c>
      <c r="B7" s="83" t="s">
        <v>118</v>
      </c>
      <c r="C7" s="76" t="s">
        <v>815</v>
      </c>
      <c r="D7" s="76">
        <v>1979</v>
      </c>
      <c r="E7" s="75" t="s">
        <v>1072</v>
      </c>
      <c r="F7" s="75" t="s">
        <v>1073</v>
      </c>
      <c r="G7" s="76">
        <v>5</v>
      </c>
      <c r="H7" s="76">
        <v>0</v>
      </c>
      <c r="I7" s="75"/>
      <c r="J7" s="75"/>
      <c r="K7" s="75"/>
      <c r="L7" s="75"/>
    </row>
    <row r="8" spans="1:12" ht="270" customHeight="1">
      <c r="A8" s="87" t="s">
        <v>176</v>
      </c>
      <c r="B8" s="83" t="s">
        <v>183</v>
      </c>
      <c r="C8" s="76" t="s">
        <v>815</v>
      </c>
      <c r="D8" s="76">
        <v>1979</v>
      </c>
      <c r="E8" s="75" t="s">
        <v>1074</v>
      </c>
      <c r="F8" s="75" t="s">
        <v>1075</v>
      </c>
      <c r="G8" s="76"/>
      <c r="H8" s="76">
        <v>0</v>
      </c>
      <c r="I8" s="75" t="s">
        <v>184</v>
      </c>
      <c r="J8" s="75" t="s">
        <v>44</v>
      </c>
      <c r="K8" s="75">
        <v>2025</v>
      </c>
      <c r="L8" s="75"/>
    </row>
    <row r="9" spans="1:12" ht="270" customHeight="1">
      <c r="A9" s="87" t="s">
        <v>39</v>
      </c>
      <c r="B9" s="77" t="s">
        <v>1079</v>
      </c>
      <c r="C9" s="76" t="s">
        <v>729</v>
      </c>
      <c r="D9" s="76">
        <v>1979</v>
      </c>
      <c r="E9" s="75" t="s">
        <v>1077</v>
      </c>
      <c r="F9" s="75" t="s">
        <v>1078</v>
      </c>
      <c r="G9" s="76">
        <v>5</v>
      </c>
      <c r="H9" s="76">
        <v>0</v>
      </c>
      <c r="I9" s="75" t="s">
        <v>94</v>
      </c>
      <c r="J9" s="75"/>
      <c r="K9" s="75"/>
      <c r="L9" s="75"/>
    </row>
    <row r="10" spans="1:12" ht="270" customHeight="1">
      <c r="A10" s="74" t="s">
        <v>28</v>
      </c>
      <c r="B10" s="83" t="s">
        <v>231</v>
      </c>
      <c r="C10" s="76" t="s">
        <v>729</v>
      </c>
      <c r="D10" s="76">
        <v>1979</v>
      </c>
      <c r="E10" s="75" t="s">
        <v>1082</v>
      </c>
      <c r="F10" s="75" t="s">
        <v>1083</v>
      </c>
      <c r="G10" s="76">
        <v>0</v>
      </c>
      <c r="H10" s="76">
        <v>0</v>
      </c>
      <c r="I10" s="75" t="s">
        <v>48</v>
      </c>
      <c r="J10" s="75" t="s">
        <v>44</v>
      </c>
      <c r="K10" s="75">
        <v>2025</v>
      </c>
      <c r="L10" s="75"/>
    </row>
    <row r="11" spans="1:12" ht="270" customHeight="1">
      <c r="A11" s="74" t="s">
        <v>1104</v>
      </c>
      <c r="B11" s="74" t="s">
        <v>1103</v>
      </c>
      <c r="C11" s="76" t="s">
        <v>1190</v>
      </c>
      <c r="D11" s="76">
        <v>1979</v>
      </c>
      <c r="E11" s="75" t="s">
        <v>1289</v>
      </c>
      <c r="F11" s="75" t="s">
        <v>1105</v>
      </c>
      <c r="G11" s="76"/>
      <c r="H11" s="76">
        <v>0</v>
      </c>
      <c r="I11" s="75"/>
      <c r="J11" s="75"/>
      <c r="K11" s="75"/>
      <c r="L11" s="75"/>
    </row>
    <row r="12" spans="1:12" ht="270" customHeight="1">
      <c r="A12" s="74" t="s">
        <v>433</v>
      </c>
      <c r="B12" s="96" t="s">
        <v>42</v>
      </c>
      <c r="C12" s="76" t="s">
        <v>540</v>
      </c>
      <c r="D12" s="76">
        <v>1979</v>
      </c>
      <c r="E12" s="75" t="s">
        <v>1062</v>
      </c>
      <c r="F12" s="75" t="s">
        <v>1087</v>
      </c>
      <c r="G12" s="76">
        <v>4.5</v>
      </c>
      <c r="H12" s="76">
        <v>0</v>
      </c>
      <c r="I12" s="75" t="s">
        <v>43</v>
      </c>
      <c r="J12" s="75" t="s">
        <v>44</v>
      </c>
      <c r="K12" s="75">
        <v>2025</v>
      </c>
      <c r="L12" s="75"/>
    </row>
    <row r="13" spans="1:12" ht="270" customHeight="1">
      <c r="A13" s="74" t="s">
        <v>1088</v>
      </c>
      <c r="B13" s="74" t="s">
        <v>1090</v>
      </c>
      <c r="C13" s="75" t="s">
        <v>540</v>
      </c>
      <c r="D13" s="76">
        <v>1979</v>
      </c>
      <c r="E13" s="75" t="s">
        <v>1089</v>
      </c>
      <c r="F13" s="75" t="s">
        <v>1091</v>
      </c>
      <c r="G13" s="76"/>
      <c r="H13" s="76">
        <v>0</v>
      </c>
      <c r="I13" s="75" t="s">
        <v>51</v>
      </c>
      <c r="J13" s="75" t="s">
        <v>44</v>
      </c>
      <c r="K13" s="75">
        <v>2025</v>
      </c>
      <c r="L13" s="75"/>
    </row>
    <row r="14" spans="1:12" ht="270" customHeight="1">
      <c r="A14" s="74" t="s">
        <v>133</v>
      </c>
      <c r="B14" s="83" t="s">
        <v>949</v>
      </c>
      <c r="C14" s="76" t="s">
        <v>540</v>
      </c>
      <c r="D14" s="76">
        <v>1979</v>
      </c>
      <c r="E14" s="75" t="s">
        <v>1102</v>
      </c>
      <c r="F14" s="75" t="s">
        <v>134</v>
      </c>
      <c r="G14" s="76">
        <v>5</v>
      </c>
      <c r="H14" s="76">
        <v>0</v>
      </c>
      <c r="I14" s="75"/>
      <c r="J14" s="75"/>
      <c r="K14" s="75"/>
      <c r="L14" s="75"/>
    </row>
    <row r="15" spans="1:12" ht="270" customHeight="1">
      <c r="A15" s="74" t="s">
        <v>24</v>
      </c>
      <c r="B15" s="83" t="s">
        <v>118</v>
      </c>
      <c r="C15" s="76" t="s">
        <v>540</v>
      </c>
      <c r="D15" s="76">
        <v>1979</v>
      </c>
      <c r="E15" s="75" t="s">
        <v>1106</v>
      </c>
      <c r="F15" s="75" t="s">
        <v>1107</v>
      </c>
      <c r="G15" s="76">
        <v>5</v>
      </c>
      <c r="H15" s="76">
        <v>0</v>
      </c>
      <c r="I15" s="75"/>
      <c r="J15" s="75"/>
      <c r="K15" s="75"/>
      <c r="L15" s="75"/>
    </row>
    <row r="16" spans="1:12" ht="270" customHeight="1">
      <c r="A16" s="87" t="s">
        <v>785</v>
      </c>
      <c r="B16" s="83" t="s">
        <v>787</v>
      </c>
      <c r="C16" s="75" t="s">
        <v>786</v>
      </c>
      <c r="D16" s="76">
        <v>1979</v>
      </c>
      <c r="E16" s="75" t="s">
        <v>1302</v>
      </c>
      <c r="F16" s="75" t="s">
        <v>1092</v>
      </c>
      <c r="G16" s="76"/>
      <c r="H16" s="76">
        <v>0</v>
      </c>
      <c r="I16" s="75" t="s">
        <v>51</v>
      </c>
      <c r="J16" s="75" t="s">
        <v>44</v>
      </c>
      <c r="K16" s="75">
        <v>2025</v>
      </c>
      <c r="L16" s="75"/>
    </row>
    <row r="17" spans="1:12" ht="409.5">
      <c r="A17" s="74" t="s">
        <v>1096</v>
      </c>
      <c r="B17" s="83" t="s">
        <v>1095</v>
      </c>
      <c r="C17" s="76" t="s">
        <v>786</v>
      </c>
      <c r="D17" s="76">
        <v>1979</v>
      </c>
      <c r="E17" s="75" t="s">
        <v>1094</v>
      </c>
      <c r="F17" s="75" t="s">
        <v>1093</v>
      </c>
      <c r="G17" s="76"/>
      <c r="H17" s="76">
        <v>0</v>
      </c>
      <c r="I17" s="75" t="s">
        <v>182</v>
      </c>
      <c r="J17" s="75" t="s">
        <v>44</v>
      </c>
      <c r="K17" s="75">
        <v>2025</v>
      </c>
      <c r="L17" s="75"/>
    </row>
    <row r="18" spans="1:12" ht="270" customHeight="1">
      <c r="A18" s="74" t="s">
        <v>176</v>
      </c>
      <c r="B18" s="83" t="s">
        <v>1097</v>
      </c>
      <c r="C18" s="76" t="s">
        <v>786</v>
      </c>
      <c r="D18" s="76">
        <v>1979</v>
      </c>
      <c r="E18" s="75" t="s">
        <v>1297</v>
      </c>
      <c r="F18" s="75" t="s">
        <v>1098</v>
      </c>
      <c r="G18" s="76"/>
      <c r="H18" s="76">
        <v>0</v>
      </c>
      <c r="I18" s="75" t="s">
        <v>184</v>
      </c>
      <c r="J18" s="75" t="s">
        <v>44</v>
      </c>
      <c r="K18" s="75">
        <v>2025</v>
      </c>
      <c r="L18" s="75"/>
    </row>
    <row r="19" spans="1:12" ht="270" customHeight="1">
      <c r="A19" s="74" t="s">
        <v>939</v>
      </c>
      <c r="B19" s="74" t="s">
        <v>1101</v>
      </c>
      <c r="C19" s="76" t="s">
        <v>938</v>
      </c>
      <c r="D19" s="76">
        <v>1979</v>
      </c>
      <c r="E19" s="75" t="s">
        <v>1100</v>
      </c>
      <c r="F19" s="75" t="s">
        <v>1099</v>
      </c>
      <c r="G19" s="76">
        <v>5</v>
      </c>
      <c r="H19" s="76">
        <v>0</v>
      </c>
      <c r="I19" s="75"/>
      <c r="J19" s="75"/>
      <c r="K19" s="75"/>
      <c r="L19" s="75"/>
    </row>
    <row r="20" spans="1:12" ht="409.5">
      <c r="A20" s="74" t="s">
        <v>176</v>
      </c>
      <c r="B20" s="74" t="s">
        <v>888</v>
      </c>
      <c r="C20" s="76" t="s">
        <v>540</v>
      </c>
      <c r="D20" s="76">
        <v>1979</v>
      </c>
      <c r="E20" s="76" t="s">
        <v>889</v>
      </c>
      <c r="F20" s="75" t="s">
        <v>191</v>
      </c>
      <c r="G20" s="76"/>
      <c r="H20" s="76">
        <v>0</v>
      </c>
      <c r="I20" s="75" t="s">
        <v>51</v>
      </c>
      <c r="J20" s="75" t="s">
        <v>44</v>
      </c>
      <c r="K20" s="75">
        <v>2025</v>
      </c>
      <c r="L20" s="75"/>
    </row>
    <row r="21" spans="1:12" ht="409.5">
      <c r="A21" s="74" t="s">
        <v>185</v>
      </c>
      <c r="B21" s="83" t="s">
        <v>893</v>
      </c>
      <c r="C21" s="76" t="s">
        <v>540</v>
      </c>
      <c r="D21" s="76">
        <v>1979</v>
      </c>
      <c r="E21" s="75" t="s">
        <v>1303</v>
      </c>
      <c r="F21" s="75" t="s">
        <v>1298</v>
      </c>
      <c r="G21" s="76"/>
      <c r="H21" s="76">
        <v>0</v>
      </c>
      <c r="I21" s="75"/>
      <c r="J21" s="75"/>
      <c r="K21" s="75"/>
      <c r="L21" s="75"/>
    </row>
    <row r="22" spans="1:12" ht="409.5">
      <c r="A22" s="74" t="s">
        <v>113</v>
      </c>
      <c r="B22" s="83" t="s">
        <v>909</v>
      </c>
      <c r="C22" s="76" t="s">
        <v>896</v>
      </c>
      <c r="D22" s="76">
        <v>1979</v>
      </c>
      <c r="E22" s="75" t="s">
        <v>1299</v>
      </c>
      <c r="F22" s="75" t="s">
        <v>1320</v>
      </c>
      <c r="G22" s="76">
        <v>0</v>
      </c>
      <c r="H22" s="76">
        <v>0</v>
      </c>
      <c r="I22" s="75" t="s">
        <v>51</v>
      </c>
      <c r="J22" s="75" t="s">
        <v>44</v>
      </c>
      <c r="K22" s="75">
        <v>2025</v>
      </c>
      <c r="L22" s="75"/>
    </row>
    <row r="23" spans="1:12" ht="409.5">
      <c r="A23" s="74" t="s">
        <v>24</v>
      </c>
      <c r="B23" s="83" t="s">
        <v>895</v>
      </c>
      <c r="C23" s="76" t="s">
        <v>896</v>
      </c>
      <c r="D23" s="76">
        <v>1979</v>
      </c>
      <c r="E23" s="75" t="s">
        <v>1304</v>
      </c>
      <c r="F23" s="75" t="s">
        <v>1300</v>
      </c>
      <c r="G23" s="76" t="s">
        <v>161</v>
      </c>
      <c r="H23" s="76">
        <v>0</v>
      </c>
      <c r="I23" s="75" t="s">
        <v>51</v>
      </c>
      <c r="J23" s="75" t="s">
        <v>44</v>
      </c>
      <c r="K23" s="75">
        <v>2025</v>
      </c>
      <c r="L23" s="75"/>
    </row>
    <row r="24" spans="1:12" ht="147.75" customHeight="1">
      <c r="A24" s="87" t="s">
        <v>930</v>
      </c>
      <c r="B24" s="74" t="s">
        <v>1109</v>
      </c>
      <c r="C24" s="76" t="s">
        <v>623</v>
      </c>
      <c r="D24" s="76">
        <v>1979</v>
      </c>
      <c r="E24" s="75" t="s">
        <v>1301</v>
      </c>
      <c r="F24" s="75" t="s">
        <v>1110</v>
      </c>
      <c r="G24" s="76">
        <v>5</v>
      </c>
      <c r="H24" s="76">
        <v>0</v>
      </c>
      <c r="I24" s="75"/>
      <c r="J24" s="75"/>
      <c r="K24" s="75"/>
      <c r="L24" s="75"/>
    </row>
    <row r="25" spans="1:12" ht="147.75" customHeight="1">
      <c r="A25" s="87" t="s">
        <v>22</v>
      </c>
      <c r="B25" s="83" t="s">
        <v>1111</v>
      </c>
      <c r="C25" s="76" t="s">
        <v>623</v>
      </c>
      <c r="D25" s="76">
        <v>1979</v>
      </c>
      <c r="E25" s="75" t="s">
        <v>1305</v>
      </c>
      <c r="F25" s="75" t="s">
        <v>1306</v>
      </c>
      <c r="G25" s="76">
        <v>4.0999999999999996</v>
      </c>
      <c r="H25" s="76">
        <v>0</v>
      </c>
      <c r="I25" s="75" t="s">
        <v>51</v>
      </c>
      <c r="J25" s="75" t="s">
        <v>44</v>
      </c>
      <c r="K25" s="75">
        <v>2025</v>
      </c>
      <c r="L25" s="75"/>
    </row>
    <row r="26" spans="1:12" ht="147.75" customHeight="1">
      <c r="A26" s="74" t="s">
        <v>952</v>
      </c>
      <c r="B26" s="83" t="s">
        <v>953</v>
      </c>
      <c r="C26" s="76" t="s">
        <v>623</v>
      </c>
      <c r="D26" s="76">
        <v>1979</v>
      </c>
      <c r="E26" s="75" t="s">
        <v>1112</v>
      </c>
      <c r="F26" s="75" t="s">
        <v>1113</v>
      </c>
      <c r="G26" s="76">
        <v>4.3</v>
      </c>
      <c r="H26" s="76">
        <v>0</v>
      </c>
      <c r="I26" s="75" t="s">
        <v>51</v>
      </c>
      <c r="J26" s="75" t="s">
        <v>44</v>
      </c>
      <c r="K26" s="75">
        <v>2025</v>
      </c>
      <c r="L26" s="75"/>
    </row>
    <row r="27" spans="1:12" ht="216" customHeight="1">
      <c r="A27" s="74" t="s">
        <v>22</v>
      </c>
      <c r="B27" s="74" t="s">
        <v>546</v>
      </c>
      <c r="C27" s="76" t="s">
        <v>1108</v>
      </c>
      <c r="D27" s="76">
        <v>1979</v>
      </c>
      <c r="E27" s="75" t="s">
        <v>545</v>
      </c>
      <c r="F27" s="75" t="s">
        <v>1063</v>
      </c>
      <c r="G27" s="76">
        <v>5</v>
      </c>
      <c r="H27" s="76">
        <v>0</v>
      </c>
      <c r="I27" s="75"/>
      <c r="J27" s="75"/>
      <c r="K27" s="75"/>
      <c r="L27" s="75"/>
    </row>
    <row r="28" spans="1:12" ht="147.75" customHeight="1">
      <c r="A28" s="74" t="s">
        <v>925</v>
      </c>
      <c r="B28" s="83" t="s">
        <v>926</v>
      </c>
      <c r="C28" s="76" t="s">
        <v>927</v>
      </c>
      <c r="D28" s="76">
        <v>1979</v>
      </c>
      <c r="E28" s="75" t="s">
        <v>1115</v>
      </c>
      <c r="F28" s="75" t="s">
        <v>1114</v>
      </c>
      <c r="G28" s="76">
        <v>5</v>
      </c>
      <c r="H28" s="76">
        <v>0</v>
      </c>
      <c r="I28" s="75"/>
      <c r="J28" s="75"/>
      <c r="K28" s="75"/>
      <c r="L28" s="75"/>
    </row>
    <row r="29" spans="1:12" ht="147.75" customHeight="1">
      <c r="A29" s="74" t="s">
        <v>1006</v>
      </c>
      <c r="B29" s="83" t="s">
        <v>1288</v>
      </c>
      <c r="C29" s="76" t="s">
        <v>1007</v>
      </c>
      <c r="D29" s="76">
        <v>1983</v>
      </c>
      <c r="E29" s="75" t="s">
        <v>1287</v>
      </c>
      <c r="F29" s="75" t="s">
        <v>178</v>
      </c>
      <c r="G29" s="76"/>
      <c r="H29" s="76">
        <v>0</v>
      </c>
      <c r="I29" s="75"/>
      <c r="J29" s="75"/>
      <c r="K29" s="75"/>
      <c r="L29" s="75"/>
    </row>
    <row r="30" spans="1:12" ht="147.75" customHeight="1">
      <c r="A30" s="74" t="s">
        <v>22</v>
      </c>
      <c r="B30" s="83" t="s">
        <v>1286</v>
      </c>
      <c r="C30" s="76" t="s">
        <v>1029</v>
      </c>
      <c r="D30" s="76">
        <v>1986</v>
      </c>
      <c r="E30" s="75" t="s">
        <v>1285</v>
      </c>
      <c r="F30" s="75" t="s">
        <v>1307</v>
      </c>
      <c r="G30" s="76">
        <v>3.3</v>
      </c>
      <c r="H30" s="76">
        <v>0</v>
      </c>
      <c r="I30" s="75" t="s">
        <v>51</v>
      </c>
      <c r="J30" s="75" t="s">
        <v>44</v>
      </c>
      <c r="K30" s="75">
        <v>2025</v>
      </c>
      <c r="L30" s="75"/>
    </row>
    <row r="31" spans="1:12" ht="147.75" customHeight="1">
      <c r="A31" s="74" t="s">
        <v>441</v>
      </c>
      <c r="B31" s="74" t="s">
        <v>439</v>
      </c>
      <c r="C31" s="76" t="s">
        <v>440</v>
      </c>
      <c r="D31" s="76">
        <v>1988</v>
      </c>
      <c r="E31" s="75" t="s">
        <v>1309</v>
      </c>
      <c r="F31" s="75" t="s">
        <v>1308</v>
      </c>
      <c r="G31" s="76">
        <v>5</v>
      </c>
      <c r="H31" s="76">
        <v>0</v>
      </c>
      <c r="I31" s="75"/>
      <c r="J31" s="75"/>
      <c r="K31" s="75"/>
      <c r="L31" s="75"/>
    </row>
    <row r="32" spans="1:12" ht="147.75" customHeight="1">
      <c r="A32" s="74" t="s">
        <v>22</v>
      </c>
      <c r="B32" s="98" t="s">
        <v>550</v>
      </c>
      <c r="C32" s="76" t="s">
        <v>548</v>
      </c>
      <c r="D32" s="76">
        <v>1990</v>
      </c>
      <c r="E32" s="75" t="s">
        <v>549</v>
      </c>
      <c r="F32" s="75" t="s">
        <v>1324</v>
      </c>
      <c r="G32" s="76">
        <v>5</v>
      </c>
      <c r="H32" s="76">
        <v>0</v>
      </c>
      <c r="I32" s="75"/>
      <c r="J32" s="75"/>
      <c r="K32" s="75"/>
      <c r="L32" s="75"/>
    </row>
    <row r="33" spans="1:12" ht="147.75" customHeight="1">
      <c r="A33" s="74" t="s">
        <v>1006</v>
      </c>
      <c r="B33" s="83" t="s">
        <v>177</v>
      </c>
      <c r="C33" s="75" t="s">
        <v>1010</v>
      </c>
      <c r="D33" s="76">
        <v>1990</v>
      </c>
      <c r="E33" s="75" t="s">
        <v>1310</v>
      </c>
      <c r="F33" s="75" t="s">
        <v>1311</v>
      </c>
      <c r="G33" s="76"/>
      <c r="H33" s="76">
        <v>0</v>
      </c>
      <c r="I33" s="75"/>
      <c r="J33" s="75"/>
      <c r="K33" s="75"/>
      <c r="L33" s="75"/>
    </row>
    <row r="34" spans="1:12" ht="147.75" customHeight="1">
      <c r="A34" s="74" t="s">
        <v>1015</v>
      </c>
      <c r="B34" s="83" t="s">
        <v>1284</v>
      </c>
      <c r="C34" s="75" t="s">
        <v>1014</v>
      </c>
      <c r="D34" s="76">
        <v>1990</v>
      </c>
      <c r="E34" s="75" t="s">
        <v>1283</v>
      </c>
      <c r="F34" s="75" t="s">
        <v>193</v>
      </c>
      <c r="G34" s="76"/>
      <c r="H34" s="76">
        <v>0</v>
      </c>
      <c r="I34" s="75" t="s">
        <v>51</v>
      </c>
      <c r="J34" s="75" t="s">
        <v>44</v>
      </c>
      <c r="K34" s="75">
        <v>2025</v>
      </c>
      <c r="L34" s="75"/>
    </row>
    <row r="35" spans="1:12" ht="270" customHeight="1">
      <c r="A35" s="74" t="s">
        <v>433</v>
      </c>
      <c r="B35" s="74" t="s">
        <v>431</v>
      </c>
      <c r="C35" s="76" t="s">
        <v>432</v>
      </c>
      <c r="D35" s="76">
        <v>1991</v>
      </c>
      <c r="E35" s="75" t="s">
        <v>412</v>
      </c>
      <c r="F35" s="75" t="s">
        <v>413</v>
      </c>
      <c r="G35" s="76">
        <v>5</v>
      </c>
      <c r="H35" s="76">
        <v>0</v>
      </c>
      <c r="I35" s="75"/>
      <c r="J35" s="75"/>
      <c r="K35" s="75"/>
      <c r="L35" s="75"/>
    </row>
    <row r="36" spans="1:12" ht="270" customHeight="1">
      <c r="A36" s="87" t="s">
        <v>22</v>
      </c>
      <c r="B36" s="74" t="s">
        <v>58</v>
      </c>
      <c r="C36" s="76" t="s">
        <v>662</v>
      </c>
      <c r="D36" s="76">
        <v>1991</v>
      </c>
      <c r="E36" s="75" t="s">
        <v>661</v>
      </c>
      <c r="F36" s="75" t="s">
        <v>60</v>
      </c>
      <c r="G36" s="76">
        <v>4.0999999999999996</v>
      </c>
      <c r="H36" s="76">
        <v>0</v>
      </c>
      <c r="I36" s="75" t="s">
        <v>51</v>
      </c>
      <c r="J36" s="75" t="s">
        <v>44</v>
      </c>
      <c r="K36" s="75">
        <v>2025</v>
      </c>
      <c r="L36" s="75"/>
    </row>
    <row r="37" spans="1:12" ht="270" customHeight="1">
      <c r="A37" s="87" t="s">
        <v>22</v>
      </c>
      <c r="B37" s="74" t="s">
        <v>65</v>
      </c>
      <c r="C37" s="76" t="s">
        <v>1189</v>
      </c>
      <c r="D37" s="76">
        <v>1993</v>
      </c>
      <c r="E37" s="75" t="s">
        <v>673</v>
      </c>
      <c r="F37" s="75" t="s">
        <v>66</v>
      </c>
      <c r="G37" s="76">
        <v>3.3</v>
      </c>
      <c r="H37" s="76">
        <v>0</v>
      </c>
      <c r="I37" s="75" t="s">
        <v>51</v>
      </c>
      <c r="J37" s="75" t="s">
        <v>44</v>
      </c>
      <c r="K37" s="75">
        <v>2025</v>
      </c>
      <c r="L37" s="75"/>
    </row>
    <row r="38" spans="1:12" ht="270" customHeight="1">
      <c r="A38" s="74" t="s">
        <v>24</v>
      </c>
      <c r="B38" s="77" t="s">
        <v>788</v>
      </c>
      <c r="C38" s="76" t="s">
        <v>1188</v>
      </c>
      <c r="D38" s="76">
        <v>1993</v>
      </c>
      <c r="E38" s="75" t="s">
        <v>789</v>
      </c>
      <c r="F38" s="75" t="s">
        <v>173</v>
      </c>
      <c r="G38" s="76">
        <v>0</v>
      </c>
      <c r="H38" s="76">
        <v>0</v>
      </c>
      <c r="I38" s="75" t="s">
        <v>51</v>
      </c>
      <c r="J38" s="75" t="s">
        <v>44</v>
      </c>
      <c r="K38" s="75">
        <v>2025</v>
      </c>
      <c r="L38" s="75"/>
    </row>
    <row r="39" spans="1:12" ht="270" customHeight="1">
      <c r="A39" s="74" t="s">
        <v>24</v>
      </c>
      <c r="B39" s="74" t="s">
        <v>160</v>
      </c>
      <c r="C39" s="76" t="s">
        <v>1187</v>
      </c>
      <c r="D39" s="76">
        <v>1993</v>
      </c>
      <c r="E39" s="75" t="s">
        <v>1001</v>
      </c>
      <c r="F39" s="75" t="s">
        <v>163</v>
      </c>
      <c r="G39" s="76" t="s">
        <v>161</v>
      </c>
      <c r="H39" s="76">
        <v>0</v>
      </c>
      <c r="I39" s="75" t="s">
        <v>51</v>
      </c>
      <c r="J39" s="75" t="s">
        <v>44</v>
      </c>
      <c r="K39" s="75">
        <v>2025</v>
      </c>
      <c r="L39" s="75"/>
    </row>
    <row r="40" spans="1:12" ht="270" customHeight="1">
      <c r="A40" s="87" t="s">
        <v>28</v>
      </c>
      <c r="B40" s="83" t="s">
        <v>822</v>
      </c>
      <c r="C40" s="76" t="s">
        <v>1186</v>
      </c>
      <c r="D40" s="76">
        <v>1993</v>
      </c>
      <c r="E40" s="75" t="s">
        <v>1282</v>
      </c>
      <c r="F40" s="75" t="s">
        <v>224</v>
      </c>
      <c r="G40" s="76">
        <v>0</v>
      </c>
      <c r="H40" s="76">
        <v>0</v>
      </c>
      <c r="I40" s="75" t="s">
        <v>48</v>
      </c>
      <c r="J40" s="75" t="s">
        <v>44</v>
      </c>
      <c r="K40" s="75">
        <v>2025</v>
      </c>
      <c r="L40" s="75"/>
    </row>
    <row r="41" spans="1:12" ht="270" customHeight="1">
      <c r="A41" s="74" t="s">
        <v>639</v>
      </c>
      <c r="B41" s="96" t="s">
        <v>727</v>
      </c>
      <c r="C41" s="76" t="s">
        <v>1184</v>
      </c>
      <c r="D41" s="76">
        <v>1994</v>
      </c>
      <c r="E41" s="75" t="s">
        <v>728</v>
      </c>
      <c r="F41" s="75" t="s">
        <v>97</v>
      </c>
      <c r="G41" s="76">
        <v>5</v>
      </c>
      <c r="H41" s="76">
        <v>0</v>
      </c>
      <c r="I41" s="75" t="s">
        <v>94</v>
      </c>
      <c r="J41" s="75"/>
      <c r="K41" s="75"/>
      <c r="L41" s="75"/>
    </row>
    <row r="42" spans="1:12" ht="270" customHeight="1">
      <c r="A42" s="74" t="s">
        <v>22</v>
      </c>
      <c r="B42" s="103" t="s">
        <v>629</v>
      </c>
      <c r="C42" s="76" t="s">
        <v>628</v>
      </c>
      <c r="D42" s="76">
        <v>1994</v>
      </c>
      <c r="E42" s="75" t="s">
        <v>630</v>
      </c>
      <c r="F42" s="78" t="s">
        <v>631</v>
      </c>
      <c r="G42" s="76"/>
      <c r="H42" s="76">
        <v>0</v>
      </c>
      <c r="I42" s="75"/>
      <c r="J42" s="75"/>
      <c r="K42" s="75"/>
      <c r="L42" s="75"/>
    </row>
    <row r="43" spans="1:12" ht="270" customHeight="1">
      <c r="A43" s="74" t="s">
        <v>22</v>
      </c>
      <c r="B43" s="83" t="s">
        <v>88</v>
      </c>
      <c r="C43" s="76" t="s">
        <v>628</v>
      </c>
      <c r="D43" s="76">
        <v>1994</v>
      </c>
      <c r="E43" s="78" t="s">
        <v>711</v>
      </c>
      <c r="F43" s="75" t="s">
        <v>89</v>
      </c>
      <c r="G43" s="76">
        <v>3.3</v>
      </c>
      <c r="H43" s="76">
        <v>0</v>
      </c>
      <c r="I43" s="75" t="s">
        <v>51</v>
      </c>
      <c r="J43" s="75" t="s">
        <v>44</v>
      </c>
      <c r="K43" s="75">
        <v>2025</v>
      </c>
      <c r="L43" s="75"/>
    </row>
    <row r="44" spans="1:12" ht="270" customHeight="1">
      <c r="A44" s="74" t="s">
        <v>709</v>
      </c>
      <c r="B44" s="83" t="s">
        <v>710</v>
      </c>
      <c r="C44" s="76" t="s">
        <v>628</v>
      </c>
      <c r="D44" s="76">
        <v>1994</v>
      </c>
      <c r="E44" s="75" t="s">
        <v>711</v>
      </c>
      <c r="F44" s="75" t="s">
        <v>90</v>
      </c>
      <c r="G44" s="76">
        <v>3.3</v>
      </c>
      <c r="H44" s="76">
        <v>0</v>
      </c>
      <c r="I44" s="75" t="s">
        <v>51</v>
      </c>
      <c r="J44" s="75" t="s">
        <v>44</v>
      </c>
      <c r="K44" s="75">
        <v>2025</v>
      </c>
      <c r="L44" s="75"/>
    </row>
    <row r="45" spans="1:12" ht="270" customHeight="1">
      <c r="A45" s="74" t="s">
        <v>446</v>
      </c>
      <c r="B45" s="104" t="s">
        <v>445</v>
      </c>
      <c r="C45" s="76" t="s">
        <v>444</v>
      </c>
      <c r="D45" s="76">
        <v>1994</v>
      </c>
      <c r="E45" s="75" t="s">
        <v>1064</v>
      </c>
      <c r="F45" s="82" t="s">
        <v>1317</v>
      </c>
      <c r="G45" s="76"/>
      <c r="H45" s="76"/>
      <c r="I45" s="75"/>
      <c r="J45" s="75"/>
      <c r="K45" s="75"/>
      <c r="L45" s="75"/>
    </row>
    <row r="46" spans="1:12" ht="270" customHeight="1">
      <c r="A46" s="74" t="s">
        <v>22</v>
      </c>
      <c r="B46" s="96" t="s">
        <v>77</v>
      </c>
      <c r="C46" s="76" t="s">
        <v>1185</v>
      </c>
      <c r="D46" s="76">
        <v>1994</v>
      </c>
      <c r="E46" s="75" t="s">
        <v>1028</v>
      </c>
      <c r="F46" s="75" t="s">
        <v>78</v>
      </c>
      <c r="G46" s="76">
        <v>5</v>
      </c>
      <c r="H46" s="76">
        <v>0</v>
      </c>
      <c r="I46" s="75"/>
      <c r="J46" s="75"/>
      <c r="K46" s="75"/>
      <c r="L46" s="75"/>
    </row>
    <row r="47" spans="1:12" ht="270" customHeight="1">
      <c r="A47" s="87" t="s">
        <v>22</v>
      </c>
      <c r="B47" s="83" t="s">
        <v>54</v>
      </c>
      <c r="C47" s="76" t="s">
        <v>632</v>
      </c>
      <c r="D47" s="76">
        <v>1995</v>
      </c>
      <c r="E47" s="75" t="s">
        <v>633</v>
      </c>
      <c r="F47" s="75" t="s">
        <v>55</v>
      </c>
      <c r="G47" s="76">
        <v>5</v>
      </c>
      <c r="H47" s="76">
        <v>0</v>
      </c>
      <c r="I47" s="75"/>
      <c r="J47" s="75"/>
      <c r="K47" s="75"/>
      <c r="L47" s="75"/>
    </row>
    <row r="48" spans="1:12" ht="270" customHeight="1">
      <c r="A48" s="74" t="s">
        <v>1006</v>
      </c>
      <c r="B48" s="83" t="s">
        <v>177</v>
      </c>
      <c r="C48" s="76" t="s">
        <v>1009</v>
      </c>
      <c r="D48" s="76">
        <v>1995</v>
      </c>
      <c r="E48" s="75" t="s">
        <v>1008</v>
      </c>
      <c r="F48" s="75" t="s">
        <v>179</v>
      </c>
      <c r="G48" s="76"/>
      <c r="H48" s="76">
        <v>0</v>
      </c>
      <c r="I48" s="75"/>
      <c r="J48" s="75"/>
      <c r="K48" s="75"/>
      <c r="L48" s="75"/>
    </row>
    <row r="49" spans="1:12" ht="315.75" customHeight="1">
      <c r="A49" s="86" t="s">
        <v>639</v>
      </c>
      <c r="B49" s="83" t="s">
        <v>92</v>
      </c>
      <c r="C49" s="76" t="s">
        <v>733</v>
      </c>
      <c r="D49" s="76">
        <v>1996</v>
      </c>
      <c r="E49" s="75" t="s">
        <v>734</v>
      </c>
      <c r="F49" s="75" t="s">
        <v>100</v>
      </c>
      <c r="G49" s="76">
        <v>5</v>
      </c>
      <c r="H49" s="76">
        <v>0</v>
      </c>
      <c r="I49" s="75" t="s">
        <v>94</v>
      </c>
      <c r="J49" s="75"/>
      <c r="K49" s="75"/>
      <c r="L49" s="75"/>
    </row>
    <row r="50" spans="1:12" ht="270" customHeight="1">
      <c r="A50" s="74" t="s">
        <v>22</v>
      </c>
      <c r="B50" s="96" t="s">
        <v>81</v>
      </c>
      <c r="C50" s="76" t="s">
        <v>733</v>
      </c>
      <c r="D50" s="76">
        <v>1996</v>
      </c>
      <c r="E50" s="75" t="s">
        <v>1151</v>
      </c>
      <c r="F50" s="75" t="s">
        <v>85</v>
      </c>
      <c r="G50" s="76">
        <v>5</v>
      </c>
      <c r="H50" s="76">
        <v>0</v>
      </c>
      <c r="I50" s="75"/>
      <c r="J50" s="75"/>
      <c r="K50" s="75"/>
      <c r="L50" s="75"/>
    </row>
    <row r="51" spans="1:12" ht="270" customHeight="1">
      <c r="A51" s="74" t="s">
        <v>865</v>
      </c>
      <c r="B51" s="83" t="s">
        <v>1121</v>
      </c>
      <c r="C51" s="76" t="s">
        <v>1183</v>
      </c>
      <c r="D51" s="76">
        <v>1997</v>
      </c>
      <c r="E51" s="75" t="s">
        <v>1122</v>
      </c>
      <c r="F51" s="75" t="s">
        <v>1123</v>
      </c>
      <c r="G51" s="76" t="s">
        <v>161</v>
      </c>
      <c r="H51" s="76">
        <v>0</v>
      </c>
      <c r="I51" s="75" t="s">
        <v>51</v>
      </c>
      <c r="J51" s="75" t="s">
        <v>44</v>
      </c>
      <c r="K51" s="75">
        <v>2025</v>
      </c>
      <c r="L51" s="75"/>
    </row>
    <row r="52" spans="1:12" ht="270" customHeight="1">
      <c r="A52" s="74" t="s">
        <v>433</v>
      </c>
      <c r="B52" s="83" t="s">
        <v>1068</v>
      </c>
      <c r="C52" s="76" t="s">
        <v>450</v>
      </c>
      <c r="D52" s="76">
        <v>1997</v>
      </c>
      <c r="E52" s="75" t="s">
        <v>451</v>
      </c>
      <c r="F52" s="89" t="s">
        <v>1119</v>
      </c>
      <c r="G52" s="76">
        <v>5</v>
      </c>
      <c r="H52" s="76">
        <v>0</v>
      </c>
      <c r="I52" s="75"/>
      <c r="J52" s="75"/>
      <c r="K52" s="75"/>
      <c r="L52" s="75"/>
    </row>
    <row r="53" spans="1:12" ht="270" customHeight="1">
      <c r="A53" s="87" t="s">
        <v>22</v>
      </c>
      <c r="B53" s="83" t="s">
        <v>58</v>
      </c>
      <c r="C53" s="76" t="s">
        <v>659</v>
      </c>
      <c r="D53" s="76">
        <v>1997</v>
      </c>
      <c r="E53" s="75" t="s">
        <v>660</v>
      </c>
      <c r="F53" s="75" t="s">
        <v>59</v>
      </c>
      <c r="G53" s="76">
        <v>4.0999999999999996</v>
      </c>
      <c r="H53" s="76">
        <v>0</v>
      </c>
      <c r="I53" s="75" t="s">
        <v>51</v>
      </c>
      <c r="J53" s="75" t="s">
        <v>44</v>
      </c>
      <c r="K53" s="75">
        <v>2025</v>
      </c>
      <c r="L53" s="75"/>
    </row>
    <row r="54" spans="1:12" ht="270" customHeight="1">
      <c r="A54" s="87" t="s">
        <v>679</v>
      </c>
      <c r="B54" s="98" t="s">
        <v>680</v>
      </c>
      <c r="C54" s="92" t="s">
        <v>678</v>
      </c>
      <c r="D54" s="92">
        <v>1999</v>
      </c>
      <c r="E54" s="89" t="s">
        <v>682</v>
      </c>
      <c r="F54" s="89" t="s">
        <v>681</v>
      </c>
      <c r="G54" s="76">
        <v>3.3</v>
      </c>
      <c r="H54" s="76">
        <v>0</v>
      </c>
      <c r="I54" s="75" t="s">
        <v>51</v>
      </c>
      <c r="J54" s="75" t="s">
        <v>44</v>
      </c>
      <c r="K54" s="75">
        <v>2025</v>
      </c>
      <c r="L54" s="75"/>
    </row>
    <row r="55" spans="1:12" ht="270" customHeight="1">
      <c r="A55" s="74" t="s">
        <v>596</v>
      </c>
      <c r="B55" s="74" t="s">
        <v>595</v>
      </c>
      <c r="C55" s="76" t="s">
        <v>597</v>
      </c>
      <c r="D55" s="76">
        <v>1999</v>
      </c>
      <c r="E55" s="75" t="s">
        <v>598</v>
      </c>
      <c r="F55" s="75" t="s">
        <v>599</v>
      </c>
      <c r="G55" s="76">
        <v>4.2</v>
      </c>
      <c r="H55" s="76">
        <v>0</v>
      </c>
      <c r="I55" s="75" t="s">
        <v>51</v>
      </c>
      <c r="J55" s="75" t="s">
        <v>44</v>
      </c>
      <c r="K55" s="75">
        <v>2025</v>
      </c>
      <c r="L55" s="75"/>
    </row>
    <row r="56" spans="1:12" ht="270" customHeight="1">
      <c r="A56" s="87" t="s">
        <v>639</v>
      </c>
      <c r="B56" s="118" t="s">
        <v>722</v>
      </c>
      <c r="C56" s="76" t="s">
        <v>721</v>
      </c>
      <c r="D56" s="76">
        <v>2001</v>
      </c>
      <c r="E56" s="75" t="s">
        <v>723</v>
      </c>
      <c r="F56" s="75" t="s">
        <v>95</v>
      </c>
      <c r="G56" s="76">
        <v>5</v>
      </c>
      <c r="H56" s="76">
        <v>0</v>
      </c>
      <c r="I56" s="75" t="s">
        <v>94</v>
      </c>
      <c r="J56" s="75"/>
      <c r="K56" s="75"/>
      <c r="L56" s="75"/>
    </row>
    <row r="57" spans="1:12" ht="270" customHeight="1">
      <c r="A57" s="74" t="s">
        <v>28</v>
      </c>
      <c r="B57" s="74" t="s">
        <v>223</v>
      </c>
      <c r="C57" s="76" t="s">
        <v>1182</v>
      </c>
      <c r="D57" s="76">
        <v>2002</v>
      </c>
      <c r="E57" s="75" t="s">
        <v>821</v>
      </c>
      <c r="F57" s="75" t="s">
        <v>225</v>
      </c>
      <c r="G57" s="76">
        <v>0</v>
      </c>
      <c r="H57" s="76">
        <v>0</v>
      </c>
      <c r="I57" s="75" t="s">
        <v>48</v>
      </c>
      <c r="J57" s="75" t="s">
        <v>44</v>
      </c>
      <c r="K57" s="75">
        <v>2025</v>
      </c>
      <c r="L57" s="75"/>
    </row>
    <row r="58" spans="1:12" ht="270" customHeight="1">
      <c r="A58" s="74" t="s">
        <v>22</v>
      </c>
      <c r="B58" s="83" t="s">
        <v>1149</v>
      </c>
      <c r="C58" s="76" t="s">
        <v>1150</v>
      </c>
      <c r="D58" s="76">
        <v>2002</v>
      </c>
      <c r="E58" s="75" t="s">
        <v>1148</v>
      </c>
      <c r="F58" s="75" t="s">
        <v>82</v>
      </c>
      <c r="G58" s="76">
        <v>5</v>
      </c>
      <c r="H58" s="76">
        <v>0</v>
      </c>
      <c r="I58" s="75"/>
      <c r="J58" s="75"/>
      <c r="K58" s="75"/>
      <c r="L58" s="75"/>
    </row>
    <row r="59" spans="1:12" ht="330.75" customHeight="1">
      <c r="A59" s="74" t="s">
        <v>639</v>
      </c>
      <c r="B59" s="76" t="s">
        <v>638</v>
      </c>
      <c r="C59" s="76" t="s">
        <v>637</v>
      </c>
      <c r="D59" s="76">
        <v>2002</v>
      </c>
      <c r="E59" s="75" t="s">
        <v>640</v>
      </c>
      <c r="F59" s="75" t="s">
        <v>641</v>
      </c>
      <c r="G59" s="76">
        <v>5</v>
      </c>
      <c r="H59" s="76">
        <v>0</v>
      </c>
      <c r="I59" s="75"/>
      <c r="J59" s="75"/>
      <c r="K59" s="75"/>
      <c r="L59" s="75"/>
    </row>
    <row r="60" spans="1:12" ht="298.5" customHeight="1">
      <c r="A60" s="74" t="s">
        <v>45</v>
      </c>
      <c r="B60" s="74" t="s">
        <v>560</v>
      </c>
      <c r="C60" s="76" t="s">
        <v>551</v>
      </c>
      <c r="D60" s="76">
        <v>2002</v>
      </c>
      <c r="E60" s="75" t="s">
        <v>552</v>
      </c>
      <c r="F60" s="75" t="s">
        <v>1325</v>
      </c>
      <c r="G60" s="76">
        <v>5</v>
      </c>
      <c r="H60" s="76">
        <v>0</v>
      </c>
      <c r="I60" s="75"/>
      <c r="J60" s="75"/>
      <c r="K60" s="75"/>
      <c r="L60" s="75"/>
    </row>
    <row r="61" spans="1:12" ht="270" customHeight="1">
      <c r="A61" s="74" t="s">
        <v>24</v>
      </c>
      <c r="B61" s="83" t="s">
        <v>130</v>
      </c>
      <c r="C61" s="76" t="s">
        <v>941</v>
      </c>
      <c r="D61" s="76">
        <v>2002</v>
      </c>
      <c r="E61" s="75" t="s">
        <v>940</v>
      </c>
      <c r="F61" s="75" t="s">
        <v>131</v>
      </c>
      <c r="G61" s="76">
        <v>5</v>
      </c>
      <c r="H61" s="76">
        <v>0</v>
      </c>
      <c r="I61" s="75"/>
      <c r="J61" s="75"/>
      <c r="K61" s="75"/>
      <c r="L61" s="75"/>
    </row>
    <row r="62" spans="1:12" ht="270" customHeight="1">
      <c r="A62" s="74" t="s">
        <v>22</v>
      </c>
      <c r="B62" s="83" t="s">
        <v>81</v>
      </c>
      <c r="C62" s="76" t="s">
        <v>1159</v>
      </c>
      <c r="D62" s="76">
        <v>2003</v>
      </c>
      <c r="E62" s="75" t="s">
        <v>1158</v>
      </c>
      <c r="F62" s="75" t="s">
        <v>83</v>
      </c>
      <c r="G62" s="76">
        <v>5</v>
      </c>
      <c r="H62" s="76">
        <v>0</v>
      </c>
      <c r="I62" s="75"/>
      <c r="J62" s="75"/>
      <c r="K62" s="75"/>
      <c r="L62" s="75"/>
    </row>
    <row r="63" spans="1:12" ht="270" customHeight="1">
      <c r="A63" s="87" t="s">
        <v>22</v>
      </c>
      <c r="B63" s="74" t="s">
        <v>65</v>
      </c>
      <c r="C63" s="76" t="s">
        <v>683</v>
      </c>
      <c r="D63" s="76">
        <v>2003</v>
      </c>
      <c r="E63" s="75" t="s">
        <v>1127</v>
      </c>
      <c r="F63" s="75" t="s">
        <v>1128</v>
      </c>
      <c r="G63" s="76">
        <v>3.3</v>
      </c>
      <c r="H63" s="76">
        <v>0</v>
      </c>
      <c r="I63" s="75" t="s">
        <v>51</v>
      </c>
      <c r="J63" s="75" t="s">
        <v>44</v>
      </c>
      <c r="K63" s="75">
        <v>2025</v>
      </c>
      <c r="L63" s="75"/>
    </row>
    <row r="64" spans="1:12" ht="270" customHeight="1">
      <c r="A64" s="74" t="s">
        <v>22</v>
      </c>
      <c r="B64" s="74" t="s">
        <v>1027</v>
      </c>
      <c r="C64" s="76" t="s">
        <v>816</v>
      </c>
      <c r="D64" s="76">
        <v>2003</v>
      </c>
      <c r="E64" s="75" t="s">
        <v>1129</v>
      </c>
      <c r="F64" s="75" t="s">
        <v>1130</v>
      </c>
      <c r="G64" s="76">
        <v>3.3</v>
      </c>
      <c r="H64" s="76">
        <v>0</v>
      </c>
      <c r="I64" s="75" t="s">
        <v>51</v>
      </c>
      <c r="J64" s="75" t="s">
        <v>44</v>
      </c>
      <c r="K64" s="75">
        <v>2025</v>
      </c>
      <c r="L64" s="75"/>
    </row>
    <row r="65" spans="1:12" ht="270" customHeight="1">
      <c r="A65" s="74" t="s">
        <v>1021</v>
      </c>
      <c r="B65" s="74" t="s">
        <v>1020</v>
      </c>
      <c r="C65" s="76" t="s">
        <v>816</v>
      </c>
      <c r="D65" s="76">
        <v>2003</v>
      </c>
      <c r="E65" s="75" t="s">
        <v>1131</v>
      </c>
      <c r="F65" s="75" t="s">
        <v>1132</v>
      </c>
      <c r="G65" s="76"/>
      <c r="H65" s="76">
        <v>0</v>
      </c>
      <c r="I65" s="75" t="s">
        <v>51</v>
      </c>
      <c r="J65" s="75" t="s">
        <v>44</v>
      </c>
      <c r="K65" s="75">
        <v>2025</v>
      </c>
      <c r="L65" s="75"/>
    </row>
    <row r="66" spans="1:12" ht="270" customHeight="1">
      <c r="A66" s="74" t="s">
        <v>433</v>
      </c>
      <c r="B66" s="74" t="s">
        <v>447</v>
      </c>
      <c r="C66" s="76" t="s">
        <v>448</v>
      </c>
      <c r="D66" s="76">
        <v>2004</v>
      </c>
      <c r="E66" s="75" t="s">
        <v>449</v>
      </c>
      <c r="F66" s="89" t="s">
        <v>1118</v>
      </c>
      <c r="G66" s="76">
        <v>5</v>
      </c>
      <c r="H66" s="76">
        <v>0</v>
      </c>
      <c r="I66" s="75"/>
      <c r="J66" s="75"/>
      <c r="K66" s="75"/>
      <c r="L66" s="75"/>
    </row>
    <row r="67" spans="1:12" ht="270" customHeight="1">
      <c r="A67" s="74" t="s">
        <v>22</v>
      </c>
      <c r="B67" s="77" t="s">
        <v>600</v>
      </c>
      <c r="C67" s="76" t="s">
        <v>448</v>
      </c>
      <c r="D67" s="76">
        <v>2004</v>
      </c>
      <c r="E67" s="75" t="s">
        <v>602</v>
      </c>
      <c r="F67" s="75" t="s">
        <v>601</v>
      </c>
      <c r="G67" s="76">
        <v>4.2</v>
      </c>
      <c r="H67" s="76">
        <v>0</v>
      </c>
      <c r="I67" s="75" t="s">
        <v>51</v>
      </c>
      <c r="J67" s="75" t="s">
        <v>44</v>
      </c>
      <c r="K67" s="75">
        <v>2025</v>
      </c>
      <c r="L67" s="75"/>
    </row>
    <row r="68" spans="1:12" ht="270" customHeight="1">
      <c r="A68" s="87" t="s">
        <v>679</v>
      </c>
      <c r="B68" s="93" t="s">
        <v>65</v>
      </c>
      <c r="C68" s="76" t="s">
        <v>685</v>
      </c>
      <c r="D68" s="76">
        <v>2004</v>
      </c>
      <c r="E68" s="75" t="s">
        <v>684</v>
      </c>
      <c r="F68" s="75" t="s">
        <v>67</v>
      </c>
      <c r="G68" s="76">
        <v>3.3</v>
      </c>
      <c r="H68" s="76">
        <v>0</v>
      </c>
      <c r="I68" s="75" t="s">
        <v>51</v>
      </c>
      <c r="J68" s="75" t="s">
        <v>44</v>
      </c>
      <c r="K68" s="75">
        <v>2025</v>
      </c>
      <c r="L68" s="75"/>
    </row>
    <row r="69" spans="1:12" ht="270" customHeight="1">
      <c r="A69" s="87" t="s">
        <v>22</v>
      </c>
      <c r="B69" s="74" t="s">
        <v>58</v>
      </c>
      <c r="C69" s="76" t="s">
        <v>663</v>
      </c>
      <c r="D69" s="76">
        <v>2004</v>
      </c>
      <c r="E69" s="75" t="s">
        <v>1117</v>
      </c>
      <c r="F69" s="75" t="s">
        <v>1116</v>
      </c>
      <c r="G69" s="76">
        <v>4.0999999999999996</v>
      </c>
      <c r="H69" s="76">
        <v>0</v>
      </c>
      <c r="I69" s="75" t="s">
        <v>51</v>
      </c>
      <c r="J69" s="75" t="s">
        <v>44</v>
      </c>
      <c r="K69" s="75">
        <v>2025</v>
      </c>
      <c r="L69" s="75"/>
    </row>
    <row r="70" spans="1:12" ht="270" customHeight="1">
      <c r="A70" s="74" t="s">
        <v>24</v>
      </c>
      <c r="B70" s="74" t="s">
        <v>160</v>
      </c>
      <c r="C70" s="76" t="s">
        <v>784</v>
      </c>
      <c r="D70" s="76">
        <v>2004</v>
      </c>
      <c r="E70" s="75" t="s">
        <v>894</v>
      </c>
      <c r="F70" s="75" t="s">
        <v>162</v>
      </c>
      <c r="G70" s="76" t="s">
        <v>161</v>
      </c>
      <c r="H70" s="76">
        <v>0</v>
      </c>
      <c r="I70" s="75" t="s">
        <v>51</v>
      </c>
      <c r="J70" s="75" t="s">
        <v>44</v>
      </c>
      <c r="K70" s="75">
        <v>2025</v>
      </c>
      <c r="L70" s="75"/>
    </row>
    <row r="71" spans="1:12" ht="270" customHeight="1">
      <c r="A71" s="74" t="s">
        <v>174</v>
      </c>
      <c r="B71" s="83" t="s">
        <v>783</v>
      </c>
      <c r="C71" s="76" t="s">
        <v>784</v>
      </c>
      <c r="D71" s="76">
        <v>2004</v>
      </c>
      <c r="E71" s="75" t="s">
        <v>1136</v>
      </c>
      <c r="F71" s="89" t="s">
        <v>1137</v>
      </c>
      <c r="G71" s="76"/>
      <c r="H71" s="76">
        <v>0</v>
      </c>
      <c r="I71" s="75" t="s">
        <v>51</v>
      </c>
      <c r="J71" s="75" t="s">
        <v>44</v>
      </c>
      <c r="K71" s="75">
        <v>2025</v>
      </c>
      <c r="L71" s="75"/>
    </row>
    <row r="72" spans="1:12" ht="270" customHeight="1">
      <c r="A72" s="74" t="s">
        <v>22</v>
      </c>
      <c r="B72" s="74" t="s">
        <v>81</v>
      </c>
      <c r="C72" s="75" t="s">
        <v>784</v>
      </c>
      <c r="D72" s="76">
        <v>2004</v>
      </c>
      <c r="E72" s="75" t="s">
        <v>1152</v>
      </c>
      <c r="F72" s="75" t="s">
        <v>84</v>
      </c>
      <c r="G72" s="76">
        <v>5</v>
      </c>
      <c r="H72" s="76">
        <v>0</v>
      </c>
      <c r="I72" s="75"/>
      <c r="J72" s="75"/>
      <c r="K72" s="75"/>
      <c r="L72" s="75"/>
    </row>
    <row r="73" spans="1:12" ht="270" customHeight="1">
      <c r="A73" s="74" t="s">
        <v>28</v>
      </c>
      <c r="B73" s="74" t="s">
        <v>223</v>
      </c>
      <c r="C73" s="76" t="s">
        <v>1135</v>
      </c>
      <c r="D73" s="76">
        <v>2005</v>
      </c>
      <c r="E73" s="75" t="s">
        <v>820</v>
      </c>
      <c r="F73" s="75" t="s">
        <v>226</v>
      </c>
      <c r="G73" s="76">
        <v>0</v>
      </c>
      <c r="H73" s="76">
        <v>0</v>
      </c>
      <c r="I73" s="75" t="s">
        <v>48</v>
      </c>
      <c r="J73" s="75" t="s">
        <v>44</v>
      </c>
      <c r="K73" s="75">
        <v>2025</v>
      </c>
      <c r="L73" s="75"/>
    </row>
    <row r="74" spans="1:12" ht="270" customHeight="1">
      <c r="A74" s="74" t="s">
        <v>22</v>
      </c>
      <c r="B74" s="74" t="s">
        <v>620</v>
      </c>
      <c r="C74" s="76" t="s">
        <v>621</v>
      </c>
      <c r="D74" s="76">
        <v>2005</v>
      </c>
      <c r="E74" s="75" t="s">
        <v>622</v>
      </c>
      <c r="F74" s="75" t="s">
        <v>1322</v>
      </c>
      <c r="G74" s="76">
        <v>5</v>
      </c>
      <c r="H74" s="76">
        <v>0</v>
      </c>
      <c r="I74" s="75"/>
      <c r="J74" s="75"/>
      <c r="K74" s="75"/>
      <c r="L74" s="75"/>
    </row>
    <row r="75" spans="1:12" ht="270" customHeight="1">
      <c r="A75" s="74" t="s">
        <v>441</v>
      </c>
      <c r="B75" s="95" t="s">
        <v>462</v>
      </c>
      <c r="C75" s="76" t="s">
        <v>461</v>
      </c>
      <c r="D75" s="76">
        <v>2005</v>
      </c>
      <c r="E75" s="75" t="s">
        <v>463</v>
      </c>
      <c r="F75" s="75" t="s">
        <v>464</v>
      </c>
      <c r="G75" s="76">
        <v>5</v>
      </c>
      <c r="H75" s="76">
        <v>0</v>
      </c>
      <c r="I75" s="75"/>
      <c r="J75" s="75"/>
      <c r="K75" s="75"/>
      <c r="L75" s="75"/>
    </row>
    <row r="76" spans="1:12" ht="270" customHeight="1">
      <c r="A76" s="86" t="s">
        <v>639</v>
      </c>
      <c r="B76" s="74" t="s">
        <v>724</v>
      </c>
      <c r="C76" s="76" t="s">
        <v>725</v>
      </c>
      <c r="D76" s="76">
        <v>2005</v>
      </c>
      <c r="E76" s="75" t="s">
        <v>726</v>
      </c>
      <c r="F76" s="75" t="s">
        <v>96</v>
      </c>
      <c r="G76" s="76">
        <v>5</v>
      </c>
      <c r="H76" s="76">
        <v>0</v>
      </c>
      <c r="I76" s="75" t="s">
        <v>94</v>
      </c>
      <c r="J76" s="75"/>
      <c r="K76" s="75"/>
      <c r="L76" s="75"/>
    </row>
    <row r="77" spans="1:12" ht="270" customHeight="1">
      <c r="A77" s="74" t="s">
        <v>1162</v>
      </c>
      <c r="B77" s="96" t="s">
        <v>1161</v>
      </c>
      <c r="C77" s="76" t="s">
        <v>1160</v>
      </c>
      <c r="D77" s="76">
        <v>2006</v>
      </c>
      <c r="E77" s="75" t="s">
        <v>1163</v>
      </c>
      <c r="F77" s="75" t="s">
        <v>1164</v>
      </c>
      <c r="G77" s="76">
        <v>5</v>
      </c>
      <c r="H77" s="76">
        <v>0</v>
      </c>
      <c r="I77" s="75"/>
      <c r="J77" s="75"/>
      <c r="K77" s="75"/>
      <c r="L77" s="75"/>
    </row>
    <row r="78" spans="1:12" ht="270" customHeight="1">
      <c r="A78" s="74" t="s">
        <v>619</v>
      </c>
      <c r="B78" s="83" t="s">
        <v>625</v>
      </c>
      <c r="C78" s="76" t="s">
        <v>624</v>
      </c>
      <c r="D78" s="76">
        <v>2006</v>
      </c>
      <c r="E78" s="76" t="s">
        <v>626</v>
      </c>
      <c r="F78" s="75" t="s">
        <v>627</v>
      </c>
      <c r="G78" s="76">
        <v>5</v>
      </c>
      <c r="H78" s="76">
        <v>0</v>
      </c>
      <c r="I78" s="75"/>
      <c r="J78" s="75"/>
      <c r="K78" s="75"/>
      <c r="L78" s="75"/>
    </row>
    <row r="79" spans="1:12" ht="270" customHeight="1">
      <c r="A79" s="74" t="s">
        <v>196</v>
      </c>
      <c r="B79" s="116" t="s">
        <v>1281</v>
      </c>
      <c r="C79" s="76" t="s">
        <v>624</v>
      </c>
      <c r="D79" s="76">
        <v>2006</v>
      </c>
      <c r="E79" s="75" t="s">
        <v>1234</v>
      </c>
      <c r="F79" s="75" t="s">
        <v>199</v>
      </c>
      <c r="G79" s="76">
        <v>3.1</v>
      </c>
      <c r="H79" s="76">
        <v>0</v>
      </c>
      <c r="I79" s="75" t="s">
        <v>198</v>
      </c>
      <c r="J79" s="75" t="s">
        <v>44</v>
      </c>
      <c r="K79" s="75">
        <v>2025</v>
      </c>
      <c r="L79" s="75"/>
    </row>
    <row r="80" spans="1:12" ht="270" customHeight="1">
      <c r="A80" s="86" t="s">
        <v>709</v>
      </c>
      <c r="B80" s="83" t="s">
        <v>712</v>
      </c>
      <c r="C80" s="76" t="s">
        <v>713</v>
      </c>
      <c r="D80" s="76">
        <v>2007</v>
      </c>
      <c r="E80" s="75" t="s">
        <v>714</v>
      </c>
      <c r="F80" s="75" t="s">
        <v>91</v>
      </c>
      <c r="G80" s="76">
        <v>3.3</v>
      </c>
      <c r="H80" s="76">
        <v>0</v>
      </c>
      <c r="I80" s="75" t="s">
        <v>51</v>
      </c>
      <c r="J80" s="75" t="s">
        <v>44</v>
      </c>
      <c r="K80" s="75">
        <v>2025</v>
      </c>
      <c r="L80" s="75"/>
    </row>
    <row r="81" spans="1:12" ht="270" customHeight="1">
      <c r="A81" s="74" t="s">
        <v>24</v>
      </c>
      <c r="B81" s="74" t="s">
        <v>801</v>
      </c>
      <c r="C81" s="76" t="s">
        <v>800</v>
      </c>
      <c r="D81" s="76">
        <v>2007</v>
      </c>
      <c r="E81" s="75" t="s">
        <v>524</v>
      </c>
      <c r="F81" s="75" t="s">
        <v>170</v>
      </c>
      <c r="G81" s="76" t="s">
        <v>161</v>
      </c>
      <c r="H81" s="76">
        <v>0</v>
      </c>
      <c r="I81" s="75" t="s">
        <v>51</v>
      </c>
      <c r="J81" s="75" t="s">
        <v>44</v>
      </c>
      <c r="K81" s="75">
        <v>2025</v>
      </c>
      <c r="L81" s="75"/>
    </row>
    <row r="82" spans="1:12" ht="270" customHeight="1">
      <c r="A82" s="74" t="s">
        <v>770</v>
      </c>
      <c r="B82" s="74" t="s">
        <v>780</v>
      </c>
      <c r="C82" s="75" t="s">
        <v>781</v>
      </c>
      <c r="D82" s="76">
        <v>2007</v>
      </c>
      <c r="E82" s="75" t="s">
        <v>452</v>
      </c>
      <c r="F82" s="75" t="s">
        <v>1138</v>
      </c>
      <c r="G82" s="76">
        <v>0</v>
      </c>
      <c r="H82" s="76">
        <v>0</v>
      </c>
      <c r="I82" s="75" t="s">
        <v>48</v>
      </c>
      <c r="J82" s="75" t="s">
        <v>44</v>
      </c>
      <c r="K82" s="75">
        <v>2025</v>
      </c>
      <c r="L82" s="75"/>
    </row>
    <row r="83" spans="1:12" ht="270" customHeight="1">
      <c r="A83" s="74" t="s">
        <v>619</v>
      </c>
      <c r="B83" s="110" t="s">
        <v>782</v>
      </c>
      <c r="C83" s="76" t="s">
        <v>603</v>
      </c>
      <c r="D83" s="76">
        <v>2007</v>
      </c>
      <c r="E83" s="75" t="s">
        <v>604</v>
      </c>
      <c r="F83" s="75" t="s">
        <v>605</v>
      </c>
      <c r="G83" s="76">
        <v>4.2</v>
      </c>
      <c r="H83" s="76">
        <v>0</v>
      </c>
      <c r="I83" s="75" t="s">
        <v>51</v>
      </c>
      <c r="J83" s="75" t="s">
        <v>44</v>
      </c>
      <c r="K83" s="75">
        <v>2025</v>
      </c>
      <c r="L83" s="75"/>
    </row>
    <row r="84" spans="1:12" ht="270" customHeight="1">
      <c r="A84" s="86" t="s">
        <v>639</v>
      </c>
      <c r="B84" s="83" t="s">
        <v>716</v>
      </c>
      <c r="C84" s="76" t="s">
        <v>717</v>
      </c>
      <c r="D84" s="76">
        <v>2007</v>
      </c>
      <c r="E84" s="75" t="s">
        <v>718</v>
      </c>
      <c r="F84" s="75" t="s">
        <v>93</v>
      </c>
      <c r="G84" s="76">
        <v>5</v>
      </c>
      <c r="H84" s="76">
        <v>0</v>
      </c>
      <c r="I84" s="75" t="s">
        <v>94</v>
      </c>
      <c r="J84" s="75"/>
      <c r="K84" s="75"/>
      <c r="L84" s="75"/>
    </row>
    <row r="85" spans="1:12" ht="270" customHeight="1">
      <c r="A85" s="74" t="s">
        <v>739</v>
      </c>
      <c r="B85" s="74" t="s">
        <v>743</v>
      </c>
      <c r="C85" s="76" t="s">
        <v>742</v>
      </c>
      <c r="D85" s="76">
        <v>2008</v>
      </c>
      <c r="E85" s="75" t="s">
        <v>744</v>
      </c>
      <c r="F85" s="75" t="s">
        <v>104</v>
      </c>
      <c r="G85" s="76">
        <v>0</v>
      </c>
      <c r="H85" s="76">
        <v>0</v>
      </c>
      <c r="I85" s="75" t="s">
        <v>103</v>
      </c>
      <c r="J85" s="75"/>
      <c r="K85" s="75"/>
      <c r="L85" s="75"/>
    </row>
    <row r="86" spans="1:12" ht="270" customHeight="1">
      <c r="A86" s="74" t="s">
        <v>196</v>
      </c>
      <c r="B86" s="103" t="s">
        <v>863</v>
      </c>
      <c r="C86" s="76" t="s">
        <v>862</v>
      </c>
      <c r="D86" s="76">
        <v>2008</v>
      </c>
      <c r="E86" s="75" t="s">
        <v>864</v>
      </c>
      <c r="F86" s="75" t="s">
        <v>207</v>
      </c>
      <c r="G86" s="76">
        <v>3.1</v>
      </c>
      <c r="H86" s="76">
        <v>0</v>
      </c>
      <c r="I86" s="75" t="s">
        <v>198</v>
      </c>
      <c r="J86" s="75" t="s">
        <v>44</v>
      </c>
      <c r="K86" s="75">
        <v>2025</v>
      </c>
      <c r="L86" s="75"/>
    </row>
    <row r="87" spans="1:12" ht="270" customHeight="1">
      <c r="A87" s="74" t="s">
        <v>196</v>
      </c>
      <c r="B87" s="74" t="s">
        <v>1140</v>
      </c>
      <c r="C87" s="76" t="s">
        <v>1022</v>
      </c>
      <c r="D87" s="76">
        <v>2008</v>
      </c>
      <c r="E87" s="75" t="s">
        <v>1139</v>
      </c>
      <c r="F87" s="75" t="s">
        <v>197</v>
      </c>
      <c r="G87" s="76">
        <v>3.1</v>
      </c>
      <c r="H87" s="76">
        <v>0</v>
      </c>
      <c r="I87" s="75" t="s">
        <v>198</v>
      </c>
      <c r="J87" s="75" t="s">
        <v>44</v>
      </c>
      <c r="K87" s="75">
        <v>2025</v>
      </c>
      <c r="L87" s="75"/>
    </row>
    <row r="88" spans="1:12" ht="270" customHeight="1">
      <c r="A88" s="74" t="s">
        <v>22</v>
      </c>
      <c r="B88" s="74" t="s">
        <v>902</v>
      </c>
      <c r="C88" s="76" t="s">
        <v>901</v>
      </c>
      <c r="D88" s="76">
        <v>2008</v>
      </c>
      <c r="E88" s="75" t="s">
        <v>900</v>
      </c>
      <c r="F88" s="75" t="s">
        <v>110</v>
      </c>
      <c r="G88" s="76">
        <v>5</v>
      </c>
      <c r="H88" s="76">
        <v>0</v>
      </c>
      <c r="I88" s="75"/>
      <c r="J88" s="75"/>
      <c r="K88" s="75"/>
      <c r="L88" s="75"/>
    </row>
    <row r="89" spans="1:12" ht="270" customHeight="1">
      <c r="A89" s="74" t="s">
        <v>952</v>
      </c>
      <c r="B89" s="74" t="s">
        <v>1280</v>
      </c>
      <c r="C89" s="76" t="s">
        <v>959</v>
      </c>
      <c r="D89" s="76">
        <v>2009</v>
      </c>
      <c r="E89" s="75" t="s">
        <v>1279</v>
      </c>
      <c r="F89" s="75" t="s">
        <v>139</v>
      </c>
      <c r="G89" s="76">
        <v>4.3</v>
      </c>
      <c r="H89" s="76">
        <v>0</v>
      </c>
      <c r="I89" s="75" t="s">
        <v>51</v>
      </c>
      <c r="J89" s="75" t="s">
        <v>44</v>
      </c>
      <c r="K89" s="75">
        <v>2025</v>
      </c>
      <c r="L89" s="75"/>
    </row>
    <row r="90" spans="1:12" ht="270" customHeight="1">
      <c r="A90" s="74" t="s">
        <v>107</v>
      </c>
      <c r="B90" s="83" t="s">
        <v>751</v>
      </c>
      <c r="C90" s="76" t="s">
        <v>750</v>
      </c>
      <c r="D90" s="76">
        <v>2009</v>
      </c>
      <c r="E90" s="75" t="s">
        <v>752</v>
      </c>
      <c r="F90" s="75" t="s">
        <v>108</v>
      </c>
      <c r="G90" s="76">
        <v>5</v>
      </c>
      <c r="H90" s="76">
        <v>0</v>
      </c>
      <c r="I90" s="75"/>
      <c r="J90" s="75"/>
      <c r="K90" s="75"/>
      <c r="L90" s="75"/>
    </row>
    <row r="91" spans="1:12" ht="270" customHeight="1">
      <c r="A91" s="74" t="s">
        <v>441</v>
      </c>
      <c r="B91" s="74" t="s">
        <v>465</v>
      </c>
      <c r="C91" s="76" t="s">
        <v>485</v>
      </c>
      <c r="D91" s="76">
        <v>2009</v>
      </c>
      <c r="E91" s="75" t="s">
        <v>466</v>
      </c>
      <c r="F91" s="75" t="s">
        <v>467</v>
      </c>
      <c r="G91" s="76">
        <v>5</v>
      </c>
      <c r="H91" s="76">
        <v>0</v>
      </c>
      <c r="I91" s="75"/>
      <c r="J91" s="75"/>
      <c r="K91" s="75"/>
      <c r="L91" s="75"/>
    </row>
    <row r="92" spans="1:12" ht="270" customHeight="1">
      <c r="A92" s="74" t="s">
        <v>955</v>
      </c>
      <c r="B92" s="74" t="s">
        <v>1277</v>
      </c>
      <c r="C92" s="76" t="s">
        <v>954</v>
      </c>
      <c r="D92" s="76">
        <v>2009</v>
      </c>
      <c r="E92" s="75" t="s">
        <v>1278</v>
      </c>
      <c r="F92" s="75" t="s">
        <v>136</v>
      </c>
      <c r="G92" s="76">
        <v>4.3</v>
      </c>
      <c r="H92" s="76">
        <v>0</v>
      </c>
      <c r="I92" s="75" t="s">
        <v>51</v>
      </c>
      <c r="J92" s="75" t="s">
        <v>44</v>
      </c>
      <c r="K92" s="75">
        <v>2025</v>
      </c>
      <c r="L92" s="75"/>
    </row>
    <row r="93" spans="1:12" ht="270" customHeight="1">
      <c r="A93" s="74" t="s">
        <v>107</v>
      </c>
      <c r="B93" s="74" t="s">
        <v>899</v>
      </c>
      <c r="C93" s="75" t="s">
        <v>898</v>
      </c>
      <c r="D93" s="76">
        <v>2010</v>
      </c>
      <c r="E93" s="75" t="s">
        <v>897</v>
      </c>
      <c r="F93" s="75" t="s">
        <v>109</v>
      </c>
      <c r="G93" s="76">
        <v>5</v>
      </c>
      <c r="H93" s="76">
        <v>0</v>
      </c>
      <c r="I93" s="75"/>
      <c r="J93" s="75"/>
      <c r="K93" s="75"/>
      <c r="L93" s="75"/>
    </row>
    <row r="94" spans="1:12" ht="270" customHeight="1">
      <c r="A94" s="74" t="s">
        <v>372</v>
      </c>
      <c r="B94" s="83" t="s">
        <v>1275</v>
      </c>
      <c r="C94" s="76" t="s">
        <v>963</v>
      </c>
      <c r="D94" s="76">
        <v>2010</v>
      </c>
      <c r="E94" s="75" t="s">
        <v>1276</v>
      </c>
      <c r="F94" s="75" t="s">
        <v>141</v>
      </c>
      <c r="G94" s="76">
        <v>3.1</v>
      </c>
      <c r="H94" s="76">
        <v>0</v>
      </c>
      <c r="I94" s="75" t="s">
        <v>51</v>
      </c>
      <c r="J94" s="75" t="s">
        <v>44</v>
      </c>
      <c r="K94" s="75">
        <v>2025</v>
      </c>
      <c r="L94" s="75"/>
    </row>
    <row r="95" spans="1:12" ht="270" customHeight="1">
      <c r="A95" s="74" t="s">
        <v>865</v>
      </c>
      <c r="B95" s="96" t="s">
        <v>869</v>
      </c>
      <c r="C95" s="76" t="s">
        <v>870</v>
      </c>
      <c r="D95" s="76">
        <v>2010</v>
      </c>
      <c r="E95" s="75" t="s">
        <v>871</v>
      </c>
      <c r="F95" s="75" t="s">
        <v>205</v>
      </c>
      <c r="G95" s="76">
        <v>3.1</v>
      </c>
      <c r="H95" s="76">
        <v>0</v>
      </c>
      <c r="I95" s="75" t="s">
        <v>198</v>
      </c>
      <c r="J95" s="75" t="s">
        <v>44</v>
      </c>
      <c r="K95" s="75">
        <v>2025</v>
      </c>
      <c r="L95" s="75"/>
    </row>
    <row r="96" spans="1:12" ht="270" customHeight="1">
      <c r="A96" s="74" t="s">
        <v>185</v>
      </c>
      <c r="B96" s="83" t="s">
        <v>186</v>
      </c>
      <c r="C96" s="76" t="s">
        <v>813</v>
      </c>
      <c r="D96" s="76">
        <v>2010</v>
      </c>
      <c r="E96" s="75" t="s">
        <v>812</v>
      </c>
      <c r="F96" s="75" t="s">
        <v>187</v>
      </c>
      <c r="G96" s="76"/>
      <c r="H96" s="76">
        <v>0</v>
      </c>
      <c r="I96" s="75"/>
      <c r="J96" s="75"/>
      <c r="K96" s="75"/>
      <c r="L96" s="75"/>
    </row>
    <row r="97" spans="1:12" ht="270" customHeight="1">
      <c r="A97" s="74" t="s">
        <v>22</v>
      </c>
      <c r="B97" s="83" t="s">
        <v>81</v>
      </c>
      <c r="C97" s="76" t="s">
        <v>1147</v>
      </c>
      <c r="D97" s="76">
        <v>2011</v>
      </c>
      <c r="E97" s="75" t="s">
        <v>524</v>
      </c>
      <c r="F97" s="75" t="s">
        <v>86</v>
      </c>
      <c r="G97" s="76">
        <v>5</v>
      </c>
      <c r="H97" s="76">
        <v>0</v>
      </c>
      <c r="I97" s="75"/>
      <c r="J97" s="75"/>
      <c r="K97" s="75"/>
      <c r="L97" s="75"/>
    </row>
    <row r="98" spans="1:12" ht="270" customHeight="1">
      <c r="A98" s="74" t="s">
        <v>196</v>
      </c>
      <c r="B98" s="83" t="s">
        <v>860</v>
      </c>
      <c r="C98" s="76" t="s">
        <v>859</v>
      </c>
      <c r="D98" s="76">
        <v>2011</v>
      </c>
      <c r="E98" s="75" t="s">
        <v>861</v>
      </c>
      <c r="F98" s="75" t="s">
        <v>208</v>
      </c>
      <c r="G98" s="76">
        <v>3.1</v>
      </c>
      <c r="H98" s="76">
        <v>0</v>
      </c>
      <c r="I98" s="75" t="s">
        <v>198</v>
      </c>
      <c r="J98" s="75" t="s">
        <v>44</v>
      </c>
      <c r="K98" s="75">
        <v>2025</v>
      </c>
      <c r="L98" s="75"/>
    </row>
    <row r="99" spans="1:12" ht="270" customHeight="1">
      <c r="A99" s="74" t="s">
        <v>372</v>
      </c>
      <c r="B99" s="77" t="s">
        <v>962</v>
      </c>
      <c r="C99" s="76" t="s">
        <v>961</v>
      </c>
      <c r="D99" s="76">
        <v>2011</v>
      </c>
      <c r="E99" s="75" t="s">
        <v>960</v>
      </c>
      <c r="F99" s="75" t="s">
        <v>140</v>
      </c>
      <c r="G99" s="76">
        <v>3.1</v>
      </c>
      <c r="H99" s="76">
        <v>0</v>
      </c>
      <c r="I99" s="75" t="s">
        <v>51</v>
      </c>
      <c r="J99" s="75" t="s">
        <v>44</v>
      </c>
      <c r="K99" s="75">
        <v>2025</v>
      </c>
      <c r="L99" s="75"/>
    </row>
    <row r="100" spans="1:12" ht="270" customHeight="1">
      <c r="A100" s="87" t="s">
        <v>770</v>
      </c>
      <c r="B100" s="83" t="s">
        <v>772</v>
      </c>
      <c r="C100" s="76" t="s">
        <v>771</v>
      </c>
      <c r="D100" s="76">
        <v>2011</v>
      </c>
      <c r="E100" s="75" t="s">
        <v>507</v>
      </c>
      <c r="F100" s="75" t="s">
        <v>232</v>
      </c>
      <c r="G100" s="76">
        <v>0</v>
      </c>
      <c r="H100" s="76">
        <v>0</v>
      </c>
      <c r="I100" s="75" t="s">
        <v>48</v>
      </c>
      <c r="J100" s="75" t="s">
        <v>44</v>
      </c>
      <c r="K100" s="75">
        <v>2025</v>
      </c>
      <c r="L100" s="75"/>
    </row>
    <row r="101" spans="1:12" ht="270" customHeight="1">
      <c r="A101" s="74" t="s">
        <v>22</v>
      </c>
      <c r="B101" s="116" t="s">
        <v>645</v>
      </c>
      <c r="C101" s="76" t="s">
        <v>642</v>
      </c>
      <c r="D101" s="76">
        <v>2012</v>
      </c>
      <c r="E101" s="75" t="s">
        <v>643</v>
      </c>
      <c r="F101" s="75" t="s">
        <v>644</v>
      </c>
      <c r="G101" s="76">
        <v>5</v>
      </c>
      <c r="H101" s="76">
        <v>0</v>
      </c>
      <c r="I101" s="75"/>
      <c r="J101" s="75"/>
      <c r="K101" s="75"/>
      <c r="L101" s="75"/>
    </row>
    <row r="102" spans="1:12" ht="270" customHeight="1">
      <c r="A102" s="74" t="s">
        <v>433</v>
      </c>
      <c r="B102" s="77" t="s">
        <v>454</v>
      </c>
      <c r="C102" s="76" t="s">
        <v>453</v>
      </c>
      <c r="D102" s="76">
        <v>2012</v>
      </c>
      <c r="E102" s="75" t="s">
        <v>452</v>
      </c>
      <c r="F102" s="75" t="s">
        <v>41</v>
      </c>
      <c r="G102" s="76">
        <v>5</v>
      </c>
      <c r="H102" s="76">
        <v>0</v>
      </c>
      <c r="I102" s="75"/>
      <c r="J102" s="75"/>
      <c r="K102" s="75"/>
      <c r="L102" s="75"/>
    </row>
    <row r="103" spans="1:12" ht="270" customHeight="1">
      <c r="A103" s="86" t="s">
        <v>639</v>
      </c>
      <c r="B103" s="83" t="s">
        <v>730</v>
      </c>
      <c r="C103" s="76" t="s">
        <v>453</v>
      </c>
      <c r="D103" s="76">
        <v>2012</v>
      </c>
      <c r="E103" s="75" t="s">
        <v>726</v>
      </c>
      <c r="F103" s="75" t="s">
        <v>98</v>
      </c>
      <c r="G103" s="76">
        <v>5</v>
      </c>
      <c r="H103" s="76">
        <v>0</v>
      </c>
      <c r="I103" s="75" t="s">
        <v>94</v>
      </c>
      <c r="J103" s="75"/>
      <c r="K103" s="75"/>
      <c r="L103" s="75"/>
    </row>
    <row r="104" spans="1:12" ht="270" customHeight="1">
      <c r="A104" s="74" t="s">
        <v>107</v>
      </c>
      <c r="B104" s="101" t="s">
        <v>905</v>
      </c>
      <c r="C104" s="76" t="s">
        <v>904</v>
      </c>
      <c r="D104" s="76">
        <v>2012</v>
      </c>
      <c r="E104" s="75" t="s">
        <v>903</v>
      </c>
      <c r="F104" s="75" t="s">
        <v>111</v>
      </c>
      <c r="G104" s="76">
        <v>5</v>
      </c>
      <c r="H104" s="76">
        <v>0</v>
      </c>
      <c r="I104" s="75"/>
      <c r="J104" s="75"/>
      <c r="K104" s="75"/>
      <c r="L104" s="75"/>
    </row>
    <row r="105" spans="1:12" ht="270" customHeight="1">
      <c r="A105" s="86" t="s">
        <v>24</v>
      </c>
      <c r="B105" s="76" t="s">
        <v>791</v>
      </c>
      <c r="C105" s="76" t="s">
        <v>790</v>
      </c>
      <c r="D105" s="76">
        <v>2012</v>
      </c>
      <c r="E105" s="75" t="s">
        <v>792</v>
      </c>
      <c r="F105" s="94" t="s">
        <v>172</v>
      </c>
      <c r="G105" s="76" t="s">
        <v>161</v>
      </c>
      <c r="H105" s="76">
        <v>0</v>
      </c>
      <c r="I105" s="75" t="s">
        <v>51</v>
      </c>
      <c r="J105" s="75" t="s">
        <v>44</v>
      </c>
      <c r="K105" s="75">
        <v>2025</v>
      </c>
      <c r="L105" s="75"/>
    </row>
    <row r="106" spans="1:12" ht="282.75" customHeight="1">
      <c r="A106" s="74" t="s">
        <v>196</v>
      </c>
      <c r="B106" s="74" t="s">
        <v>880</v>
      </c>
      <c r="C106" s="76" t="s">
        <v>881</v>
      </c>
      <c r="D106" s="76">
        <v>2012</v>
      </c>
      <c r="E106" s="75" t="s">
        <v>882</v>
      </c>
      <c r="F106" s="75" t="s">
        <v>201</v>
      </c>
      <c r="G106" s="76">
        <v>3.1</v>
      </c>
      <c r="H106" s="76">
        <v>0</v>
      </c>
      <c r="I106" s="75" t="s">
        <v>198</v>
      </c>
      <c r="J106" s="75" t="s">
        <v>44</v>
      </c>
      <c r="K106" s="75">
        <v>2025</v>
      </c>
      <c r="L106" s="75"/>
    </row>
    <row r="107" spans="1:12" ht="270" customHeight="1">
      <c r="A107" s="74" t="s">
        <v>709</v>
      </c>
      <c r="B107" s="74" t="s">
        <v>883</v>
      </c>
      <c r="C107" s="76" t="s">
        <v>884</v>
      </c>
      <c r="D107" s="76">
        <v>2012</v>
      </c>
      <c r="E107" s="75" t="s">
        <v>885</v>
      </c>
      <c r="F107" s="75" t="s">
        <v>200</v>
      </c>
      <c r="G107" s="76">
        <v>3.1</v>
      </c>
      <c r="H107" s="76">
        <v>0</v>
      </c>
      <c r="I107" s="75" t="s">
        <v>198</v>
      </c>
      <c r="J107" s="75" t="s">
        <v>44</v>
      </c>
      <c r="K107" s="75">
        <v>2025</v>
      </c>
      <c r="L107" s="75"/>
    </row>
    <row r="108" spans="1:12" ht="270" customHeight="1">
      <c r="A108" s="74" t="s">
        <v>196</v>
      </c>
      <c r="B108" s="102" t="s">
        <v>876</v>
      </c>
      <c r="C108" s="75" t="s">
        <v>875</v>
      </c>
      <c r="D108" s="76">
        <v>2013</v>
      </c>
      <c r="E108" s="75" t="s">
        <v>590</v>
      </c>
      <c r="F108" s="75" t="s">
        <v>203</v>
      </c>
      <c r="G108" s="76">
        <v>3.1</v>
      </c>
      <c r="H108" s="76">
        <v>0</v>
      </c>
      <c r="I108" s="75" t="s">
        <v>198</v>
      </c>
      <c r="J108" s="75" t="s">
        <v>44</v>
      </c>
      <c r="K108" s="75">
        <v>2025</v>
      </c>
      <c r="L108" s="75"/>
    </row>
    <row r="109" spans="1:12" ht="270" customHeight="1">
      <c r="A109" s="74" t="s">
        <v>196</v>
      </c>
      <c r="B109" s="125" t="s">
        <v>879</v>
      </c>
      <c r="C109" s="76" t="s">
        <v>877</v>
      </c>
      <c r="D109" s="76">
        <v>2013</v>
      </c>
      <c r="E109" s="75" t="s">
        <v>878</v>
      </c>
      <c r="F109" s="75" t="s">
        <v>202</v>
      </c>
      <c r="G109" s="76">
        <v>3.1</v>
      </c>
      <c r="H109" s="76">
        <v>0</v>
      </c>
      <c r="I109" s="75" t="s">
        <v>198</v>
      </c>
      <c r="J109" s="75" t="s">
        <v>44</v>
      </c>
      <c r="K109" s="75">
        <v>2025</v>
      </c>
      <c r="L109" s="75"/>
    </row>
    <row r="110" spans="1:12" ht="270" customHeight="1">
      <c r="A110" s="74" t="s">
        <v>455</v>
      </c>
      <c r="B110" s="74" t="s">
        <v>456</v>
      </c>
      <c r="C110" s="76" t="s">
        <v>457</v>
      </c>
      <c r="D110" s="76">
        <v>2013</v>
      </c>
      <c r="E110" s="75" t="s">
        <v>420</v>
      </c>
      <c r="F110" s="75" t="s">
        <v>421</v>
      </c>
      <c r="G110" s="76">
        <v>5</v>
      </c>
      <c r="H110" s="76">
        <v>0</v>
      </c>
      <c r="I110" s="75"/>
      <c r="J110" s="75"/>
      <c r="K110" s="75"/>
      <c r="L110" s="75"/>
    </row>
    <row r="111" spans="1:12" ht="270" customHeight="1">
      <c r="A111" s="74" t="s">
        <v>372</v>
      </c>
      <c r="B111" s="74" t="s">
        <v>965</v>
      </c>
      <c r="C111" s="76" t="s">
        <v>966</v>
      </c>
      <c r="D111" s="76">
        <v>2013</v>
      </c>
      <c r="E111" s="75" t="s">
        <v>1273</v>
      </c>
      <c r="F111" s="75" t="s">
        <v>142</v>
      </c>
      <c r="G111" s="76">
        <v>3.1</v>
      </c>
      <c r="H111" s="76">
        <v>0</v>
      </c>
      <c r="I111" s="75" t="s">
        <v>51</v>
      </c>
      <c r="J111" s="75" t="s">
        <v>44</v>
      </c>
      <c r="K111" s="75">
        <v>2025</v>
      </c>
      <c r="L111" s="75"/>
    </row>
    <row r="112" spans="1:12" ht="270" customHeight="1">
      <c r="A112" s="74" t="s">
        <v>964</v>
      </c>
      <c r="B112" s="83" t="s">
        <v>1270</v>
      </c>
      <c r="C112" s="76" t="s">
        <v>970</v>
      </c>
      <c r="D112" s="76">
        <v>2013</v>
      </c>
      <c r="E112" s="75" t="s">
        <v>1269</v>
      </c>
      <c r="F112" s="75" t="s">
        <v>143</v>
      </c>
      <c r="G112" s="76">
        <v>3.1</v>
      </c>
      <c r="H112" s="76">
        <v>0</v>
      </c>
      <c r="I112" s="75" t="s">
        <v>51</v>
      </c>
      <c r="J112" s="75" t="s">
        <v>44</v>
      </c>
      <c r="K112" s="75">
        <v>2025</v>
      </c>
      <c r="L112" s="75"/>
    </row>
    <row r="113" spans="1:12" ht="270" customHeight="1">
      <c r="A113" s="74" t="s">
        <v>185</v>
      </c>
      <c r="B113" s="83" t="s">
        <v>186</v>
      </c>
      <c r="C113" s="76" t="s">
        <v>810</v>
      </c>
      <c r="D113" s="76">
        <v>2013</v>
      </c>
      <c r="E113" s="75" t="s">
        <v>811</v>
      </c>
      <c r="F113" s="75" t="s">
        <v>188</v>
      </c>
      <c r="G113" s="76"/>
      <c r="H113" s="76">
        <v>0</v>
      </c>
      <c r="I113" s="75"/>
      <c r="J113" s="75"/>
      <c r="K113" s="75"/>
      <c r="L113" s="75"/>
    </row>
    <row r="114" spans="1:12" ht="270" customHeight="1">
      <c r="A114" s="74" t="s">
        <v>952</v>
      </c>
      <c r="B114" s="74" t="s">
        <v>956</v>
      </c>
      <c r="C114" s="75" t="s">
        <v>1181</v>
      </c>
      <c r="D114" s="76">
        <v>2014</v>
      </c>
      <c r="E114" s="75" t="s">
        <v>524</v>
      </c>
      <c r="F114" s="75" t="s">
        <v>137</v>
      </c>
      <c r="G114" s="76">
        <v>4.3</v>
      </c>
      <c r="H114" s="76">
        <v>0</v>
      </c>
      <c r="I114" s="75" t="s">
        <v>51</v>
      </c>
      <c r="J114" s="75" t="s">
        <v>44</v>
      </c>
      <c r="K114" s="75">
        <v>2025</v>
      </c>
      <c r="L114" s="75"/>
    </row>
    <row r="115" spans="1:12" ht="270" customHeight="1">
      <c r="A115" s="74" t="s">
        <v>1006</v>
      </c>
      <c r="B115" s="74" t="s">
        <v>1177</v>
      </c>
      <c r="C115" s="75" t="s">
        <v>1178</v>
      </c>
      <c r="D115" s="76">
        <v>2014</v>
      </c>
      <c r="E115" s="75" t="s">
        <v>1266</v>
      </c>
      <c r="F115" s="75" t="s">
        <v>180</v>
      </c>
      <c r="G115" s="76"/>
      <c r="H115" s="76">
        <v>0</v>
      </c>
      <c r="I115" s="75"/>
      <c r="J115" s="75"/>
      <c r="K115" s="75"/>
      <c r="L115" s="75"/>
    </row>
    <row r="116" spans="1:12" ht="270" customHeight="1">
      <c r="A116" s="74" t="s">
        <v>639</v>
      </c>
      <c r="B116" s="74" t="s">
        <v>1268</v>
      </c>
      <c r="C116" s="76" t="s">
        <v>1179</v>
      </c>
      <c r="D116" s="76">
        <v>2014</v>
      </c>
      <c r="E116" s="75" t="s">
        <v>779</v>
      </c>
      <c r="F116" s="75" t="s">
        <v>1326</v>
      </c>
      <c r="G116" s="76"/>
      <c r="H116" s="76"/>
      <c r="I116" s="75"/>
      <c r="J116" s="75"/>
      <c r="K116" s="75"/>
      <c r="L116" s="75"/>
    </row>
    <row r="117" spans="1:12" ht="270" customHeight="1">
      <c r="A117" s="74" t="s">
        <v>639</v>
      </c>
      <c r="B117" s="74" t="s">
        <v>775</v>
      </c>
      <c r="C117" s="76" t="s">
        <v>1179</v>
      </c>
      <c r="D117" s="76">
        <v>2014</v>
      </c>
      <c r="E117" s="75" t="s">
        <v>778</v>
      </c>
      <c r="F117" s="75" t="s">
        <v>1327</v>
      </c>
      <c r="G117" s="76"/>
      <c r="H117" s="76"/>
      <c r="I117" s="75"/>
      <c r="J117" s="75"/>
      <c r="K117" s="75"/>
      <c r="L117" s="75"/>
    </row>
    <row r="118" spans="1:12" ht="270" customHeight="1">
      <c r="A118" s="74" t="s">
        <v>639</v>
      </c>
      <c r="B118" s="74" t="s">
        <v>774</v>
      </c>
      <c r="C118" s="76" t="s">
        <v>1179</v>
      </c>
      <c r="D118" s="76">
        <v>2014</v>
      </c>
      <c r="E118" s="75" t="s">
        <v>777</v>
      </c>
      <c r="F118" s="75" t="s">
        <v>1267</v>
      </c>
      <c r="G118" s="76"/>
      <c r="H118" s="76"/>
      <c r="I118" s="75"/>
      <c r="J118" s="75"/>
      <c r="K118" s="75"/>
      <c r="L118" s="75"/>
    </row>
    <row r="119" spans="1:12" ht="270" customHeight="1">
      <c r="A119" s="74" t="s">
        <v>639</v>
      </c>
      <c r="B119" s="74" t="s">
        <v>773</v>
      </c>
      <c r="C119" s="76" t="s">
        <v>1179</v>
      </c>
      <c r="D119" s="76">
        <v>2014</v>
      </c>
      <c r="E119" s="75" t="s">
        <v>776</v>
      </c>
      <c r="F119" s="75" t="s">
        <v>1328</v>
      </c>
      <c r="G119" s="76">
        <v>0</v>
      </c>
      <c r="H119" s="76">
        <v>0</v>
      </c>
      <c r="I119" s="75" t="s">
        <v>48</v>
      </c>
      <c r="J119" s="75" t="s">
        <v>44</v>
      </c>
      <c r="K119" s="75">
        <v>2025</v>
      </c>
      <c r="L119" s="75"/>
    </row>
    <row r="120" spans="1:12" ht="270" customHeight="1">
      <c r="A120" s="74" t="s">
        <v>113</v>
      </c>
      <c r="B120" s="74" t="s">
        <v>1180</v>
      </c>
      <c r="C120" s="76" t="s">
        <v>1179</v>
      </c>
      <c r="D120" s="76">
        <v>2014</v>
      </c>
      <c r="E120" s="75" t="s">
        <v>1266</v>
      </c>
      <c r="F120" s="75" t="s">
        <v>114</v>
      </c>
      <c r="G120" s="76">
        <v>0</v>
      </c>
      <c r="H120" s="76">
        <v>0</v>
      </c>
      <c r="I120" s="75" t="s">
        <v>51</v>
      </c>
      <c r="J120" s="75" t="s">
        <v>44</v>
      </c>
      <c r="K120" s="75">
        <v>2025</v>
      </c>
      <c r="L120" s="75"/>
    </row>
    <row r="121" spans="1:12" ht="270" customHeight="1">
      <c r="A121" s="87" t="s">
        <v>24</v>
      </c>
      <c r="B121" s="124" t="s">
        <v>1293</v>
      </c>
      <c r="C121" s="76" t="s">
        <v>805</v>
      </c>
      <c r="D121" s="76">
        <v>2014</v>
      </c>
      <c r="E121" s="75" t="s">
        <v>806</v>
      </c>
      <c r="F121" s="75" t="s">
        <v>166</v>
      </c>
      <c r="G121" s="76" t="s">
        <v>161</v>
      </c>
      <c r="H121" s="76">
        <v>0</v>
      </c>
      <c r="I121" s="75" t="s">
        <v>51</v>
      </c>
      <c r="J121" s="75" t="s">
        <v>44</v>
      </c>
      <c r="K121" s="75">
        <v>2025</v>
      </c>
      <c r="L121" s="75"/>
    </row>
    <row r="122" spans="1:12" ht="270" customHeight="1">
      <c r="A122" s="74" t="s">
        <v>1017</v>
      </c>
      <c r="B122" s="74"/>
      <c r="C122" s="76" t="s">
        <v>1016</v>
      </c>
      <c r="D122" s="76">
        <v>2014</v>
      </c>
      <c r="E122" s="75"/>
      <c r="F122" s="75" t="s">
        <v>194</v>
      </c>
      <c r="G122" s="76"/>
      <c r="H122" s="76">
        <v>0</v>
      </c>
      <c r="I122" s="75" t="s">
        <v>51</v>
      </c>
      <c r="J122" s="75" t="s">
        <v>44</v>
      </c>
      <c r="K122" s="75">
        <v>2025</v>
      </c>
      <c r="L122" s="75"/>
    </row>
    <row r="123" spans="1:12" ht="270" customHeight="1">
      <c r="A123" s="74" t="s">
        <v>433</v>
      </c>
      <c r="B123" s="74" t="s">
        <v>459</v>
      </c>
      <c r="C123" s="76" t="s">
        <v>458</v>
      </c>
      <c r="D123" s="76">
        <v>2014</v>
      </c>
      <c r="E123" s="75" t="s">
        <v>460</v>
      </c>
      <c r="F123" s="75" t="s">
        <v>1329</v>
      </c>
      <c r="G123" s="76">
        <v>5</v>
      </c>
      <c r="H123" s="76">
        <v>0</v>
      </c>
      <c r="I123" s="75"/>
      <c r="J123" s="75"/>
      <c r="K123" s="75"/>
      <c r="L123" s="75"/>
    </row>
    <row r="124" spans="1:12" ht="270" customHeight="1">
      <c r="A124" s="74" t="s">
        <v>739</v>
      </c>
      <c r="B124" s="111" t="s">
        <v>741</v>
      </c>
      <c r="C124" s="76" t="s">
        <v>738</v>
      </c>
      <c r="D124" s="76">
        <v>2015</v>
      </c>
      <c r="E124" s="75" t="s">
        <v>740</v>
      </c>
      <c r="F124" s="75" t="s">
        <v>102</v>
      </c>
      <c r="G124" s="76">
        <v>0</v>
      </c>
      <c r="H124" s="76">
        <v>0</v>
      </c>
      <c r="I124" s="75" t="s">
        <v>103</v>
      </c>
      <c r="J124" s="75"/>
      <c r="K124" s="75"/>
      <c r="L124" s="75"/>
    </row>
    <row r="125" spans="1:12" ht="270" customHeight="1">
      <c r="A125" s="86" t="s">
        <v>24</v>
      </c>
      <c r="B125" s="123" t="s">
        <v>741</v>
      </c>
      <c r="C125" s="76" t="s">
        <v>738</v>
      </c>
      <c r="D125" s="76">
        <v>2015</v>
      </c>
      <c r="E125" s="75" t="s">
        <v>803</v>
      </c>
      <c r="F125" s="75" t="s">
        <v>168</v>
      </c>
      <c r="G125" s="76" t="s">
        <v>161</v>
      </c>
      <c r="H125" s="76">
        <v>0</v>
      </c>
      <c r="I125" s="75" t="s">
        <v>51</v>
      </c>
      <c r="J125" s="75" t="s">
        <v>44</v>
      </c>
      <c r="K125" s="75">
        <v>2025</v>
      </c>
      <c r="L125" s="75"/>
    </row>
    <row r="126" spans="1:12" ht="270" customHeight="1">
      <c r="A126" s="74" t="s">
        <v>1012</v>
      </c>
      <c r="B126" s="74" t="s">
        <v>741</v>
      </c>
      <c r="C126" s="76" t="s">
        <v>738</v>
      </c>
      <c r="D126" s="76">
        <v>2015</v>
      </c>
      <c r="E126" s="75" t="s">
        <v>1011</v>
      </c>
      <c r="F126" s="75" t="s">
        <v>181</v>
      </c>
      <c r="G126" s="76"/>
      <c r="H126" s="76">
        <v>0</v>
      </c>
      <c r="I126" s="75" t="s">
        <v>182</v>
      </c>
      <c r="J126" s="75" t="s">
        <v>44</v>
      </c>
      <c r="K126" s="75">
        <v>2025</v>
      </c>
      <c r="L126" s="75"/>
    </row>
    <row r="127" spans="1:12" ht="270" customHeight="1">
      <c r="A127" s="87" t="s">
        <v>22</v>
      </c>
      <c r="B127" s="74" t="s">
        <v>65</v>
      </c>
      <c r="C127" s="76" t="s">
        <v>665</v>
      </c>
      <c r="D127" s="76">
        <v>2015</v>
      </c>
      <c r="E127" s="75" t="s">
        <v>686</v>
      </c>
      <c r="F127" s="75" t="s">
        <v>68</v>
      </c>
      <c r="G127" s="76">
        <v>3.3</v>
      </c>
      <c r="H127" s="76">
        <v>0</v>
      </c>
      <c r="I127" s="75" t="s">
        <v>51</v>
      </c>
      <c r="J127" s="75" t="s">
        <v>44</v>
      </c>
      <c r="K127" s="75">
        <v>2025</v>
      </c>
      <c r="L127" s="75"/>
    </row>
    <row r="128" spans="1:12" ht="270" customHeight="1">
      <c r="A128" s="74" t="s">
        <v>1006</v>
      </c>
      <c r="B128" s="74" t="s">
        <v>177</v>
      </c>
      <c r="C128" s="76" t="s">
        <v>665</v>
      </c>
      <c r="D128" s="76">
        <v>2015</v>
      </c>
      <c r="E128" s="75" t="s">
        <v>1011</v>
      </c>
      <c r="F128" s="75" t="s">
        <v>181</v>
      </c>
      <c r="G128" s="76"/>
      <c r="H128" s="76">
        <v>0</v>
      </c>
      <c r="I128" s="75"/>
      <c r="J128" s="75"/>
      <c r="K128" s="75"/>
      <c r="L128" s="75"/>
    </row>
    <row r="129" spans="1:12" ht="270" customHeight="1">
      <c r="A129" s="87" t="s">
        <v>22</v>
      </c>
      <c r="B129" s="74" t="s">
        <v>58</v>
      </c>
      <c r="C129" s="76" t="s">
        <v>665</v>
      </c>
      <c r="D129" s="76">
        <v>2015</v>
      </c>
      <c r="E129" s="75" t="s">
        <v>664</v>
      </c>
      <c r="F129" s="75" t="s">
        <v>61</v>
      </c>
      <c r="G129" s="76">
        <v>4.0999999999999996</v>
      </c>
      <c r="H129" s="76">
        <v>0</v>
      </c>
      <c r="I129" s="75" t="s">
        <v>51</v>
      </c>
      <c r="J129" s="75" t="s">
        <v>44</v>
      </c>
      <c r="K129" s="75">
        <v>2025</v>
      </c>
      <c r="L129" s="75"/>
    </row>
    <row r="130" spans="1:12" ht="270" customHeight="1">
      <c r="A130" s="74" t="s">
        <v>372</v>
      </c>
      <c r="B130" s="74" t="s">
        <v>962</v>
      </c>
      <c r="C130" s="76" t="s">
        <v>665</v>
      </c>
      <c r="D130" s="76">
        <v>2015</v>
      </c>
      <c r="E130" s="75" t="s">
        <v>969</v>
      </c>
      <c r="F130" s="75" t="s">
        <v>145</v>
      </c>
      <c r="G130" s="76">
        <v>3.1</v>
      </c>
      <c r="H130" s="76">
        <v>0</v>
      </c>
      <c r="I130" s="75" t="s">
        <v>51</v>
      </c>
      <c r="J130" s="75" t="s">
        <v>44</v>
      </c>
      <c r="K130" s="75">
        <v>2025</v>
      </c>
      <c r="L130" s="75"/>
    </row>
    <row r="131" spans="1:12" ht="270" customHeight="1">
      <c r="A131" s="74" t="s">
        <v>176</v>
      </c>
      <c r="B131" s="83" t="s">
        <v>183</v>
      </c>
      <c r="C131" s="76" t="s">
        <v>665</v>
      </c>
      <c r="D131" s="76">
        <v>2015</v>
      </c>
      <c r="E131" s="75" t="s">
        <v>814</v>
      </c>
      <c r="F131" s="75" t="s">
        <v>181</v>
      </c>
      <c r="G131" s="76"/>
      <c r="H131" s="76">
        <v>0</v>
      </c>
      <c r="I131" s="75" t="s">
        <v>184</v>
      </c>
      <c r="J131" s="75" t="s">
        <v>44</v>
      </c>
      <c r="K131" s="75">
        <v>2025</v>
      </c>
      <c r="L131" s="75"/>
    </row>
    <row r="132" spans="1:12" ht="270" customHeight="1">
      <c r="A132" s="74" t="s">
        <v>196</v>
      </c>
      <c r="B132" s="74" t="s">
        <v>541</v>
      </c>
      <c r="C132" s="76" t="s">
        <v>665</v>
      </c>
      <c r="D132" s="76">
        <v>2015</v>
      </c>
      <c r="E132" s="75" t="s">
        <v>416</v>
      </c>
      <c r="F132" s="75" t="s">
        <v>417</v>
      </c>
      <c r="G132" s="76">
        <v>3.1</v>
      </c>
      <c r="H132" s="76">
        <v>0</v>
      </c>
      <c r="I132" s="75" t="s">
        <v>198</v>
      </c>
      <c r="J132" s="75" t="s">
        <v>44</v>
      </c>
      <c r="K132" s="75">
        <v>2025</v>
      </c>
      <c r="L132" s="75"/>
    </row>
    <row r="133" spans="1:12" ht="270" customHeight="1">
      <c r="A133" s="74" t="s">
        <v>433</v>
      </c>
      <c r="B133" s="74" t="s">
        <v>541</v>
      </c>
      <c r="C133" s="76" t="s">
        <v>542</v>
      </c>
      <c r="D133" s="76">
        <v>2015</v>
      </c>
      <c r="E133" s="75" t="s">
        <v>416</v>
      </c>
      <c r="F133" s="75" t="s">
        <v>417</v>
      </c>
      <c r="G133" s="76">
        <v>4.5</v>
      </c>
      <c r="H133" s="76">
        <v>0</v>
      </c>
      <c r="I133" s="75" t="s">
        <v>43</v>
      </c>
      <c r="J133" s="75" t="s">
        <v>44</v>
      </c>
      <c r="K133" s="75">
        <v>2025</v>
      </c>
      <c r="L133" s="75"/>
    </row>
    <row r="134" spans="1:12" ht="270" customHeight="1">
      <c r="A134" s="74" t="s">
        <v>113</v>
      </c>
      <c r="B134" s="83" t="s">
        <v>541</v>
      </c>
      <c r="C134" s="76" t="s">
        <v>542</v>
      </c>
      <c r="D134" s="76">
        <v>2015</v>
      </c>
      <c r="E134" s="75" t="s">
        <v>416</v>
      </c>
      <c r="F134" s="75" t="s">
        <v>417</v>
      </c>
      <c r="G134" s="76">
        <v>0</v>
      </c>
      <c r="H134" s="76">
        <v>0</v>
      </c>
      <c r="I134" s="75" t="s">
        <v>51</v>
      </c>
      <c r="J134" s="75" t="s">
        <v>44</v>
      </c>
      <c r="K134" s="75">
        <v>2025</v>
      </c>
      <c r="L134" s="75"/>
    </row>
    <row r="135" spans="1:12" ht="270" customHeight="1">
      <c r="A135" s="74" t="s">
        <v>925</v>
      </c>
      <c r="B135" s="96" t="s">
        <v>929</v>
      </c>
      <c r="C135" s="76" t="s">
        <v>542</v>
      </c>
      <c r="D135" s="76">
        <v>2015</v>
      </c>
      <c r="E135" s="75" t="s">
        <v>416</v>
      </c>
      <c r="F135" s="75" t="s">
        <v>417</v>
      </c>
      <c r="G135" s="76">
        <v>5</v>
      </c>
      <c r="H135" s="76">
        <v>0</v>
      </c>
      <c r="I135" s="75"/>
      <c r="J135" s="75"/>
      <c r="K135" s="75"/>
      <c r="L135" s="75"/>
    </row>
    <row r="136" spans="1:12" ht="270" customHeight="1">
      <c r="A136" s="74" t="s">
        <v>930</v>
      </c>
      <c r="B136" s="83" t="s">
        <v>541</v>
      </c>
      <c r="C136" s="76" t="s">
        <v>542</v>
      </c>
      <c r="D136" s="76">
        <v>2015</v>
      </c>
      <c r="E136" s="75" t="s">
        <v>416</v>
      </c>
      <c r="F136" s="75" t="s">
        <v>417</v>
      </c>
      <c r="G136" s="76">
        <v>3.9</v>
      </c>
      <c r="H136" s="76">
        <v>0</v>
      </c>
      <c r="I136" s="75" t="s">
        <v>124</v>
      </c>
      <c r="J136" s="75" t="s">
        <v>44</v>
      </c>
      <c r="K136" s="75">
        <v>2025</v>
      </c>
      <c r="L136" s="75"/>
    </row>
    <row r="137" spans="1:12" ht="270" customHeight="1">
      <c r="A137" s="83" t="s">
        <v>937</v>
      </c>
      <c r="B137" s="83" t="s">
        <v>936</v>
      </c>
      <c r="C137" s="76" t="s">
        <v>542</v>
      </c>
      <c r="D137" s="76">
        <v>2015</v>
      </c>
      <c r="E137" s="75" t="s">
        <v>416</v>
      </c>
      <c r="F137" s="75" t="s">
        <v>417</v>
      </c>
      <c r="G137" s="76">
        <v>5</v>
      </c>
      <c r="H137" s="76">
        <v>0</v>
      </c>
      <c r="I137" s="75"/>
      <c r="J137" s="75"/>
      <c r="K137" s="75"/>
      <c r="L137" s="75"/>
    </row>
    <row r="138" spans="1:12" ht="270" customHeight="1">
      <c r="A138" s="74" t="s">
        <v>946</v>
      </c>
      <c r="B138" s="74" t="s">
        <v>929</v>
      </c>
      <c r="C138" s="76" t="s">
        <v>542</v>
      </c>
      <c r="D138" s="76">
        <v>2015</v>
      </c>
      <c r="E138" s="75" t="s">
        <v>416</v>
      </c>
      <c r="F138" s="75" t="s">
        <v>417</v>
      </c>
      <c r="G138" s="76">
        <v>5</v>
      </c>
      <c r="H138" s="76">
        <v>0</v>
      </c>
      <c r="I138" s="75"/>
      <c r="J138" s="75"/>
      <c r="K138" s="75"/>
      <c r="L138" s="75"/>
    </row>
    <row r="139" spans="1:12" ht="270" customHeight="1">
      <c r="A139" s="74" t="s">
        <v>28</v>
      </c>
      <c r="B139" s="74" t="s">
        <v>223</v>
      </c>
      <c r="C139" s="76" t="s">
        <v>542</v>
      </c>
      <c r="D139" s="76">
        <v>2015</v>
      </c>
      <c r="E139" s="75" t="s">
        <v>416</v>
      </c>
      <c r="F139" s="75" t="s">
        <v>417</v>
      </c>
      <c r="G139" s="76">
        <v>0</v>
      </c>
      <c r="H139" s="76">
        <v>0</v>
      </c>
      <c r="I139" s="75" t="s">
        <v>228</v>
      </c>
      <c r="J139" s="75" t="s">
        <v>44</v>
      </c>
      <c r="K139" s="75">
        <v>2025</v>
      </c>
      <c r="L139" s="75"/>
    </row>
    <row r="140" spans="1:12" ht="270" customHeight="1">
      <c r="A140" s="87" t="s">
        <v>770</v>
      </c>
      <c r="B140" s="74" t="s">
        <v>541</v>
      </c>
      <c r="C140" s="76" t="s">
        <v>542</v>
      </c>
      <c r="D140" s="76">
        <v>2015</v>
      </c>
      <c r="E140" s="75" t="s">
        <v>416</v>
      </c>
      <c r="F140" s="75" t="s">
        <v>417</v>
      </c>
      <c r="G140" s="76">
        <v>0</v>
      </c>
      <c r="H140" s="76">
        <v>0</v>
      </c>
      <c r="I140" s="75" t="s">
        <v>48</v>
      </c>
      <c r="J140" s="75" t="s">
        <v>44</v>
      </c>
      <c r="K140" s="75">
        <v>2025</v>
      </c>
      <c r="L140" s="75"/>
    </row>
    <row r="141" spans="1:12" ht="270" customHeight="1">
      <c r="A141" s="74" t="s">
        <v>433</v>
      </c>
      <c r="B141" s="74" t="s">
        <v>438</v>
      </c>
      <c r="C141" s="76" t="s">
        <v>542</v>
      </c>
      <c r="D141" s="76">
        <v>2015</v>
      </c>
      <c r="E141" s="75" t="s">
        <v>416</v>
      </c>
      <c r="F141" s="75" t="s">
        <v>417</v>
      </c>
      <c r="G141" s="76">
        <v>5</v>
      </c>
      <c r="H141" s="76">
        <v>0</v>
      </c>
      <c r="I141" s="75"/>
      <c r="J141" s="75"/>
      <c r="K141" s="75"/>
      <c r="L141" s="75"/>
    </row>
    <row r="142" spans="1:12" ht="270" customHeight="1">
      <c r="A142" s="74" t="s">
        <v>709</v>
      </c>
      <c r="B142" s="77" t="s">
        <v>715</v>
      </c>
      <c r="C142" s="75" t="s">
        <v>542</v>
      </c>
      <c r="D142" s="76">
        <v>2015</v>
      </c>
      <c r="E142" s="75" t="s">
        <v>416</v>
      </c>
      <c r="F142" s="75" t="s">
        <v>417</v>
      </c>
      <c r="G142" s="76">
        <v>3.3</v>
      </c>
      <c r="H142" s="76">
        <v>0</v>
      </c>
      <c r="I142" s="75" t="s">
        <v>51</v>
      </c>
      <c r="J142" s="75" t="s">
        <v>44</v>
      </c>
      <c r="K142" s="75">
        <v>2025</v>
      </c>
      <c r="L142" s="75"/>
    </row>
    <row r="143" spans="1:12" ht="270" customHeight="1">
      <c r="A143" s="74" t="s">
        <v>785</v>
      </c>
      <c r="B143" s="74" t="s">
        <v>175</v>
      </c>
      <c r="C143" s="75" t="s">
        <v>542</v>
      </c>
      <c r="D143" s="76">
        <v>2015</v>
      </c>
      <c r="E143" s="75" t="s">
        <v>416</v>
      </c>
      <c r="F143" s="75" t="s">
        <v>417</v>
      </c>
      <c r="G143" s="76"/>
      <c r="H143" s="76">
        <v>0</v>
      </c>
      <c r="I143" s="75" t="s">
        <v>51</v>
      </c>
      <c r="J143" s="75" t="s">
        <v>44</v>
      </c>
      <c r="K143" s="75">
        <v>2025</v>
      </c>
      <c r="L143" s="75"/>
    </row>
    <row r="144" spans="1:12" ht="270" customHeight="1">
      <c r="A144" s="86" t="s">
        <v>639</v>
      </c>
      <c r="B144" s="74" t="s">
        <v>731</v>
      </c>
      <c r="C144" s="76" t="s">
        <v>542</v>
      </c>
      <c r="D144" s="76">
        <v>2015</v>
      </c>
      <c r="E144" s="90" t="s">
        <v>732</v>
      </c>
      <c r="F144" s="75" t="s">
        <v>99</v>
      </c>
      <c r="G144" s="76">
        <v>5</v>
      </c>
      <c r="H144" s="76">
        <v>0</v>
      </c>
      <c r="I144" s="75" t="s">
        <v>94</v>
      </c>
      <c r="J144" s="75"/>
      <c r="K144" s="75"/>
      <c r="L144" s="75"/>
    </row>
    <row r="145" spans="1:12" ht="270" customHeight="1">
      <c r="A145" s="74" t="s">
        <v>925</v>
      </c>
      <c r="B145" s="83" t="s">
        <v>541</v>
      </c>
      <c r="C145" s="76" t="s">
        <v>887</v>
      </c>
      <c r="D145" s="76">
        <v>2015</v>
      </c>
      <c r="E145" s="75" t="s">
        <v>416</v>
      </c>
      <c r="F145" s="75" t="s">
        <v>417</v>
      </c>
      <c r="G145" s="76">
        <v>5</v>
      </c>
      <c r="H145" s="76">
        <v>0</v>
      </c>
      <c r="I145" s="75"/>
      <c r="J145" s="75"/>
      <c r="K145" s="75"/>
      <c r="L145" s="75"/>
    </row>
    <row r="146" spans="1:12" ht="270" customHeight="1">
      <c r="A146" s="74" t="s">
        <v>945</v>
      </c>
      <c r="B146" s="74" t="s">
        <v>541</v>
      </c>
      <c r="C146" s="76" t="s">
        <v>887</v>
      </c>
      <c r="D146" s="76">
        <v>2015</v>
      </c>
      <c r="E146" s="75" t="s">
        <v>416</v>
      </c>
      <c r="F146" s="75" t="s">
        <v>417</v>
      </c>
      <c r="G146" s="76">
        <v>5</v>
      </c>
      <c r="H146" s="76">
        <v>0</v>
      </c>
      <c r="I146" s="75"/>
      <c r="J146" s="75"/>
      <c r="K146" s="75"/>
      <c r="L146" s="75"/>
    </row>
    <row r="147" spans="1:12" ht="270" customHeight="1">
      <c r="A147" s="74" t="s">
        <v>952</v>
      </c>
      <c r="B147" s="74" t="s">
        <v>929</v>
      </c>
      <c r="C147" s="76" t="s">
        <v>887</v>
      </c>
      <c r="D147" s="76">
        <v>2015</v>
      </c>
      <c r="E147" s="75" t="s">
        <v>416</v>
      </c>
      <c r="F147" s="75" t="s">
        <v>417</v>
      </c>
      <c r="G147" s="76">
        <v>4.3</v>
      </c>
      <c r="H147" s="76">
        <v>0</v>
      </c>
      <c r="I147" s="75" t="s">
        <v>51</v>
      </c>
      <c r="J147" s="75" t="s">
        <v>44</v>
      </c>
      <c r="K147" s="75">
        <v>2025</v>
      </c>
      <c r="L147" s="75"/>
    </row>
    <row r="148" spans="1:12" ht="270" customHeight="1">
      <c r="A148" s="74" t="s">
        <v>176</v>
      </c>
      <c r="B148" s="74" t="s">
        <v>886</v>
      </c>
      <c r="C148" s="76" t="s">
        <v>887</v>
      </c>
      <c r="D148" s="76">
        <v>2015</v>
      </c>
      <c r="E148" s="75" t="s">
        <v>416</v>
      </c>
      <c r="F148" s="75" t="s">
        <v>417</v>
      </c>
      <c r="G148" s="76"/>
      <c r="H148" s="76">
        <v>0</v>
      </c>
      <c r="I148" s="75" t="s">
        <v>51</v>
      </c>
      <c r="J148" s="75" t="s">
        <v>44</v>
      </c>
      <c r="K148" s="75">
        <v>2025</v>
      </c>
      <c r="L148" s="75"/>
    </row>
    <row r="149" spans="1:12" ht="270" customHeight="1">
      <c r="A149" s="74" t="s">
        <v>372</v>
      </c>
      <c r="B149" s="83" t="s">
        <v>1264</v>
      </c>
      <c r="C149" s="76" t="s">
        <v>968</v>
      </c>
      <c r="D149" s="76">
        <v>2015</v>
      </c>
      <c r="E149" s="75" t="s">
        <v>1263</v>
      </c>
      <c r="F149" s="75" t="s">
        <v>144</v>
      </c>
      <c r="G149" s="76">
        <v>3.1</v>
      </c>
      <c r="H149" s="76">
        <v>0</v>
      </c>
      <c r="I149" s="75" t="s">
        <v>51</v>
      </c>
      <c r="J149" s="75" t="s">
        <v>44</v>
      </c>
      <c r="K149" s="75">
        <v>2025</v>
      </c>
      <c r="L149" s="75"/>
    </row>
    <row r="150" spans="1:12" ht="270" customHeight="1">
      <c r="A150" s="74" t="s">
        <v>433</v>
      </c>
      <c r="B150" s="74" t="s">
        <v>500</v>
      </c>
      <c r="C150" s="76" t="s">
        <v>482</v>
      </c>
      <c r="D150" s="76">
        <v>2015</v>
      </c>
      <c r="E150" s="75" t="s">
        <v>501</v>
      </c>
      <c r="F150" s="109" t="s">
        <v>502</v>
      </c>
      <c r="G150" s="76">
        <v>5</v>
      </c>
      <c r="H150" s="76">
        <v>0</v>
      </c>
      <c r="I150" s="75"/>
      <c r="J150" s="75"/>
      <c r="K150" s="75"/>
      <c r="L150" s="75"/>
    </row>
    <row r="151" spans="1:12" ht="270" customHeight="1">
      <c r="A151" s="86" t="s">
        <v>583</v>
      </c>
      <c r="B151" s="101" t="s">
        <v>807</v>
      </c>
      <c r="C151" s="76" t="s">
        <v>1261</v>
      </c>
      <c r="D151" s="76">
        <v>2015</v>
      </c>
      <c r="E151" s="75" t="s">
        <v>802</v>
      </c>
      <c r="F151" s="75" t="s">
        <v>169</v>
      </c>
      <c r="G151" s="76" t="s">
        <v>161</v>
      </c>
      <c r="H151" s="76">
        <v>0</v>
      </c>
      <c r="I151" s="75" t="s">
        <v>51</v>
      </c>
      <c r="J151" s="75" t="s">
        <v>44</v>
      </c>
      <c r="K151" s="75">
        <v>2025</v>
      </c>
      <c r="L151" s="75"/>
    </row>
    <row r="152" spans="1:12" ht="270" customHeight="1">
      <c r="A152" s="74" t="s">
        <v>22</v>
      </c>
      <c r="B152" s="74" t="s">
        <v>77</v>
      </c>
      <c r="C152" s="76" t="s">
        <v>665</v>
      </c>
      <c r="D152" s="76">
        <v>2015</v>
      </c>
      <c r="E152" s="75" t="s">
        <v>1260</v>
      </c>
      <c r="F152" s="75" t="s">
        <v>79</v>
      </c>
      <c r="G152" s="76">
        <v>5</v>
      </c>
      <c r="H152" s="76">
        <v>0</v>
      </c>
      <c r="I152" s="75"/>
      <c r="J152" s="75"/>
      <c r="K152" s="75"/>
      <c r="L152" s="75"/>
    </row>
    <row r="153" spans="1:12" ht="270" customHeight="1">
      <c r="A153" s="74" t="s">
        <v>433</v>
      </c>
      <c r="B153" s="83" t="s">
        <v>434</v>
      </c>
      <c r="C153" s="76" t="s">
        <v>435</v>
      </c>
      <c r="D153" s="76">
        <v>2015</v>
      </c>
      <c r="E153" s="75" t="s">
        <v>414</v>
      </c>
      <c r="F153" s="75" t="s">
        <v>415</v>
      </c>
      <c r="G153" s="76">
        <v>5</v>
      </c>
      <c r="H153" s="76">
        <v>0</v>
      </c>
      <c r="I153" s="75"/>
      <c r="J153" s="75"/>
      <c r="K153" s="75"/>
      <c r="L153" s="75"/>
    </row>
    <row r="154" spans="1:12" ht="270" customHeight="1">
      <c r="A154" s="74" t="s">
        <v>24</v>
      </c>
      <c r="B154" s="83" t="s">
        <v>1005</v>
      </c>
      <c r="C154" s="76" t="s">
        <v>1004</v>
      </c>
      <c r="D154" s="76">
        <v>2016</v>
      </c>
      <c r="E154" s="75" t="s">
        <v>1259</v>
      </c>
      <c r="F154" s="75" t="s">
        <v>165</v>
      </c>
      <c r="G154" s="76" t="s">
        <v>161</v>
      </c>
      <c r="H154" s="76">
        <v>0</v>
      </c>
      <c r="I154" s="75" t="s">
        <v>51</v>
      </c>
      <c r="J154" s="75" t="s">
        <v>44</v>
      </c>
      <c r="K154" s="75">
        <v>2025</v>
      </c>
      <c r="L154" s="75"/>
    </row>
    <row r="155" spans="1:12" ht="270" customHeight="1">
      <c r="A155" s="74" t="s">
        <v>22</v>
      </c>
      <c r="B155" s="74" t="s">
        <v>674</v>
      </c>
      <c r="C155" s="76" t="s">
        <v>675</v>
      </c>
      <c r="D155" s="76">
        <v>2016</v>
      </c>
      <c r="E155" s="75" t="s">
        <v>676</v>
      </c>
      <c r="F155" s="75" t="s">
        <v>677</v>
      </c>
      <c r="G155" s="76">
        <v>3.3</v>
      </c>
      <c r="H155" s="76">
        <v>0</v>
      </c>
      <c r="I155" s="75" t="s">
        <v>51</v>
      </c>
      <c r="J155" s="75" t="s">
        <v>44</v>
      </c>
      <c r="K155" s="75">
        <v>2025</v>
      </c>
      <c r="L155" s="75"/>
    </row>
    <row r="156" spans="1:12" ht="270" customHeight="1">
      <c r="A156" s="87" t="s">
        <v>679</v>
      </c>
      <c r="B156" s="98" t="s">
        <v>689</v>
      </c>
      <c r="C156" s="76" t="s">
        <v>675</v>
      </c>
      <c r="D156" s="76">
        <v>2016</v>
      </c>
      <c r="E156" s="75" t="s">
        <v>690</v>
      </c>
      <c r="F156" s="75" t="s">
        <v>70</v>
      </c>
      <c r="G156" s="76">
        <v>3.3</v>
      </c>
      <c r="H156" s="76">
        <v>0</v>
      </c>
      <c r="I156" s="75" t="s">
        <v>51</v>
      </c>
      <c r="J156" s="75" t="s">
        <v>44</v>
      </c>
      <c r="K156" s="75">
        <v>2025</v>
      </c>
      <c r="L156" s="75"/>
    </row>
    <row r="157" spans="1:12" ht="270" customHeight="1">
      <c r="A157" s="74" t="s">
        <v>433</v>
      </c>
      <c r="B157" s="98" t="s">
        <v>468</v>
      </c>
      <c r="C157" s="76" t="s">
        <v>486</v>
      </c>
      <c r="D157" s="76">
        <v>2016</v>
      </c>
      <c r="E157" s="75" t="s">
        <v>469</v>
      </c>
      <c r="F157" s="75" t="s">
        <v>1330</v>
      </c>
      <c r="G157" s="76">
        <v>5</v>
      </c>
      <c r="H157" s="76">
        <v>0</v>
      </c>
      <c r="I157" s="75"/>
      <c r="J157" s="75"/>
      <c r="K157" s="75"/>
      <c r="L157" s="75"/>
    </row>
    <row r="158" spans="1:12" ht="270" customHeight="1">
      <c r="A158" s="122" t="s">
        <v>185</v>
      </c>
      <c r="B158" s="83" t="s">
        <v>186</v>
      </c>
      <c r="C158" s="76" t="s">
        <v>1290</v>
      </c>
      <c r="D158" s="76">
        <v>2016</v>
      </c>
      <c r="E158" s="75" t="s">
        <v>1176</v>
      </c>
      <c r="F158" s="75" t="s">
        <v>189</v>
      </c>
      <c r="G158" s="76"/>
      <c r="H158" s="76">
        <v>0</v>
      </c>
      <c r="I158" s="75"/>
      <c r="J158" s="75"/>
      <c r="K158" s="75"/>
      <c r="L158" s="75"/>
    </row>
    <row r="159" spans="1:12" ht="270" customHeight="1">
      <c r="A159" s="86" t="s">
        <v>22</v>
      </c>
      <c r="B159" s="83" t="s">
        <v>692</v>
      </c>
      <c r="C159" s="76" t="s">
        <v>691</v>
      </c>
      <c r="D159" s="76">
        <v>2016</v>
      </c>
      <c r="E159" s="75" t="s">
        <v>693</v>
      </c>
      <c r="F159" s="75" t="s">
        <v>69</v>
      </c>
      <c r="G159" s="76">
        <v>3.3</v>
      </c>
      <c r="H159" s="76">
        <v>0</v>
      </c>
      <c r="I159" s="75" t="s">
        <v>51</v>
      </c>
      <c r="J159" s="75" t="s">
        <v>44</v>
      </c>
      <c r="K159" s="75">
        <v>2025</v>
      </c>
      <c r="L159" s="75"/>
    </row>
    <row r="160" spans="1:12" ht="270" customHeight="1">
      <c r="A160" s="74" t="s">
        <v>679</v>
      </c>
      <c r="B160" s="83" t="s">
        <v>687</v>
      </c>
      <c r="C160" s="76" t="s">
        <v>691</v>
      </c>
      <c r="D160" s="76">
        <v>2016</v>
      </c>
      <c r="E160" s="75" t="s">
        <v>1175</v>
      </c>
      <c r="F160" s="75" t="s">
        <v>688</v>
      </c>
      <c r="G160" s="76">
        <v>3.3</v>
      </c>
      <c r="H160" s="76">
        <v>0</v>
      </c>
      <c r="I160" s="75" t="s">
        <v>51</v>
      </c>
      <c r="J160" s="75" t="s">
        <v>44</v>
      </c>
      <c r="K160" s="75">
        <v>2025</v>
      </c>
      <c r="L160" s="75"/>
    </row>
    <row r="161" spans="1:12" ht="270" customHeight="1">
      <c r="A161" s="74" t="s">
        <v>24</v>
      </c>
      <c r="B161" s="74" t="s">
        <v>920</v>
      </c>
      <c r="C161" s="76" t="s">
        <v>919</v>
      </c>
      <c r="D161" s="76">
        <v>2016</v>
      </c>
      <c r="E161" s="75" t="s">
        <v>1257</v>
      </c>
      <c r="F161" s="75" t="s">
        <v>119</v>
      </c>
      <c r="G161" s="76">
        <v>5</v>
      </c>
      <c r="H161" s="76">
        <v>0</v>
      </c>
      <c r="I161" s="75"/>
      <c r="J161" s="75"/>
      <c r="K161" s="75"/>
      <c r="L161" s="75"/>
    </row>
    <row r="162" spans="1:12" ht="270" customHeight="1">
      <c r="A162" s="74" t="s">
        <v>22</v>
      </c>
      <c r="B162" s="74" t="s">
        <v>649</v>
      </c>
      <c r="C162" s="76" t="s">
        <v>650</v>
      </c>
      <c r="D162" s="76">
        <v>2017</v>
      </c>
      <c r="E162" s="75" t="s">
        <v>651</v>
      </c>
      <c r="F162" s="75" t="s">
        <v>1331</v>
      </c>
      <c r="G162" s="76">
        <v>5</v>
      </c>
      <c r="H162" s="76">
        <v>0</v>
      </c>
      <c r="I162" s="75"/>
      <c r="J162" s="75"/>
      <c r="K162" s="75"/>
      <c r="L162" s="75"/>
    </row>
    <row r="163" spans="1:12" ht="270" customHeight="1">
      <c r="A163" s="86" t="s">
        <v>24</v>
      </c>
      <c r="B163" s="101" t="s">
        <v>1255</v>
      </c>
      <c r="C163" s="76" t="s">
        <v>804</v>
      </c>
      <c r="D163" s="76">
        <v>2017</v>
      </c>
      <c r="E163" s="75" t="s">
        <v>1256</v>
      </c>
      <c r="F163" s="75" t="s">
        <v>167</v>
      </c>
      <c r="G163" s="76" t="s">
        <v>161</v>
      </c>
      <c r="H163" s="76">
        <v>0</v>
      </c>
      <c r="I163" s="75" t="s">
        <v>51</v>
      </c>
      <c r="J163" s="75" t="s">
        <v>44</v>
      </c>
      <c r="K163" s="75">
        <v>2025</v>
      </c>
      <c r="L163" s="75"/>
    </row>
    <row r="164" spans="1:12" ht="270" customHeight="1">
      <c r="A164" s="74" t="s">
        <v>964</v>
      </c>
      <c r="B164" s="76" t="s">
        <v>972</v>
      </c>
      <c r="C164" s="76" t="s">
        <v>971</v>
      </c>
      <c r="D164" s="76">
        <v>2017</v>
      </c>
      <c r="E164" s="75" t="s">
        <v>1292</v>
      </c>
      <c r="F164" s="75" t="s">
        <v>146</v>
      </c>
      <c r="G164" s="76">
        <v>3.1</v>
      </c>
      <c r="H164" s="76">
        <v>0</v>
      </c>
      <c r="I164" s="75" t="s">
        <v>51</v>
      </c>
      <c r="J164" s="75" t="s">
        <v>44</v>
      </c>
      <c r="K164" s="75">
        <v>2025</v>
      </c>
      <c r="L164" s="75"/>
    </row>
    <row r="165" spans="1:12" ht="270" customHeight="1">
      <c r="A165" s="74" t="s">
        <v>930</v>
      </c>
      <c r="B165" s="83" t="s">
        <v>123</v>
      </c>
      <c r="C165" s="76" t="s">
        <v>931</v>
      </c>
      <c r="D165" s="76">
        <v>2017</v>
      </c>
      <c r="E165" s="75" t="s">
        <v>1232</v>
      </c>
      <c r="F165" s="75" t="s">
        <v>125</v>
      </c>
      <c r="G165" s="76">
        <v>3.9</v>
      </c>
      <c r="H165" s="76">
        <v>0</v>
      </c>
      <c r="I165" s="75" t="s">
        <v>124</v>
      </c>
      <c r="J165" s="75" t="s">
        <v>44</v>
      </c>
      <c r="K165" s="75">
        <v>2025</v>
      </c>
      <c r="L165" s="75"/>
    </row>
    <row r="166" spans="1:12" ht="270" customHeight="1">
      <c r="A166" s="74" t="s">
        <v>22</v>
      </c>
      <c r="B166" s="98" t="s">
        <v>647</v>
      </c>
      <c r="C166" s="76" t="s">
        <v>646</v>
      </c>
      <c r="D166" s="76">
        <v>2018</v>
      </c>
      <c r="E166" s="75" t="s">
        <v>648</v>
      </c>
      <c r="F166" s="75" t="s">
        <v>56</v>
      </c>
      <c r="G166" s="76">
        <v>5</v>
      </c>
      <c r="H166" s="76">
        <v>0</v>
      </c>
      <c r="I166" s="75"/>
      <c r="J166" s="75"/>
      <c r="K166" s="75"/>
      <c r="L166" s="75"/>
    </row>
    <row r="167" spans="1:12" ht="270" customHeight="1">
      <c r="A167" s="74" t="s">
        <v>22</v>
      </c>
      <c r="B167" s="83" t="s">
        <v>81</v>
      </c>
      <c r="C167" s="76" t="s">
        <v>1166</v>
      </c>
      <c r="D167" s="76">
        <v>2018</v>
      </c>
      <c r="E167" s="75" t="s">
        <v>1165</v>
      </c>
      <c r="F167" s="75" t="s">
        <v>87</v>
      </c>
      <c r="G167" s="76">
        <v>5</v>
      </c>
      <c r="H167" s="76">
        <v>0</v>
      </c>
      <c r="I167" s="75"/>
      <c r="J167" s="75"/>
      <c r="K167" s="75"/>
      <c r="L167" s="75"/>
    </row>
    <row r="168" spans="1:12" ht="270" customHeight="1">
      <c r="A168" s="74" t="s">
        <v>24</v>
      </c>
      <c r="B168" s="83" t="s">
        <v>123</v>
      </c>
      <c r="C168" s="76" t="s">
        <v>932</v>
      </c>
      <c r="D168" s="76">
        <v>2018</v>
      </c>
      <c r="E168" s="75" t="s">
        <v>590</v>
      </c>
      <c r="F168" s="75" t="s">
        <v>126</v>
      </c>
      <c r="G168" s="76">
        <v>3.9</v>
      </c>
      <c r="H168" s="76">
        <v>0</v>
      </c>
      <c r="I168" s="75" t="s">
        <v>124</v>
      </c>
      <c r="J168" s="75" t="s">
        <v>44</v>
      </c>
      <c r="K168" s="75">
        <v>2025</v>
      </c>
      <c r="L168" s="75"/>
    </row>
    <row r="169" spans="1:12" ht="270" customHeight="1">
      <c r="A169" s="74" t="s">
        <v>930</v>
      </c>
      <c r="B169" s="83" t="s">
        <v>123</v>
      </c>
      <c r="C169" s="76" t="s">
        <v>933</v>
      </c>
      <c r="D169" s="76">
        <v>2018</v>
      </c>
      <c r="E169" s="75" t="s">
        <v>1232</v>
      </c>
      <c r="F169" s="75" t="s">
        <v>127</v>
      </c>
      <c r="G169" s="76">
        <v>3.9</v>
      </c>
      <c r="H169" s="76">
        <v>0</v>
      </c>
      <c r="I169" s="75" t="s">
        <v>124</v>
      </c>
      <c r="J169" s="75" t="s">
        <v>44</v>
      </c>
      <c r="K169" s="75">
        <v>2025</v>
      </c>
      <c r="L169" s="75"/>
    </row>
    <row r="170" spans="1:12" ht="270" customHeight="1">
      <c r="A170" s="74" t="s">
        <v>1015</v>
      </c>
      <c r="B170" s="74" t="s">
        <v>1019</v>
      </c>
      <c r="C170" s="76" t="s">
        <v>1018</v>
      </c>
      <c r="D170" s="76">
        <v>2018</v>
      </c>
      <c r="E170" s="75" t="s">
        <v>1291</v>
      </c>
      <c r="F170" s="75" t="s">
        <v>195</v>
      </c>
      <c r="G170" s="76"/>
      <c r="H170" s="76">
        <v>0</v>
      </c>
      <c r="I170" s="75" t="s">
        <v>51</v>
      </c>
      <c r="J170" s="75" t="s">
        <v>44</v>
      </c>
      <c r="K170" s="75">
        <v>2025</v>
      </c>
      <c r="L170" s="75"/>
    </row>
    <row r="171" spans="1:12" ht="270" customHeight="1">
      <c r="A171" s="74" t="s">
        <v>196</v>
      </c>
      <c r="B171" s="83" t="s">
        <v>872</v>
      </c>
      <c r="C171" s="76" t="s">
        <v>873</v>
      </c>
      <c r="D171" s="76">
        <v>2018</v>
      </c>
      <c r="E171" s="75" t="s">
        <v>874</v>
      </c>
      <c r="F171" s="75" t="s">
        <v>204</v>
      </c>
      <c r="G171" s="76">
        <v>3.1</v>
      </c>
      <c r="H171" s="76">
        <v>0</v>
      </c>
      <c r="I171" s="75" t="s">
        <v>198</v>
      </c>
      <c r="J171" s="75" t="s">
        <v>44</v>
      </c>
      <c r="K171" s="75">
        <v>2025</v>
      </c>
      <c r="L171" s="75"/>
    </row>
    <row r="172" spans="1:12" ht="270" customHeight="1">
      <c r="A172" s="74" t="s">
        <v>739</v>
      </c>
      <c r="B172" s="83" t="s">
        <v>746</v>
      </c>
      <c r="C172" s="76" t="s">
        <v>745</v>
      </c>
      <c r="D172" s="76">
        <v>2019</v>
      </c>
      <c r="E172" s="75" t="s">
        <v>524</v>
      </c>
      <c r="F172" s="75" t="s">
        <v>105</v>
      </c>
      <c r="G172" s="76">
        <v>0</v>
      </c>
      <c r="H172" s="76">
        <v>0</v>
      </c>
      <c r="I172" s="75" t="s">
        <v>103</v>
      </c>
      <c r="J172" s="75"/>
      <c r="K172" s="75"/>
      <c r="L172" s="75"/>
    </row>
    <row r="173" spans="1:12" ht="270" customHeight="1">
      <c r="A173" s="74" t="s">
        <v>964</v>
      </c>
      <c r="B173" s="83" t="s">
        <v>975</v>
      </c>
      <c r="C173" s="76" t="s">
        <v>1174</v>
      </c>
      <c r="D173" s="76">
        <v>2019</v>
      </c>
      <c r="E173" s="75" t="s">
        <v>928</v>
      </c>
      <c r="F173" s="75" t="s">
        <v>148</v>
      </c>
      <c r="G173" s="76">
        <v>3.1</v>
      </c>
      <c r="H173" s="76">
        <v>0</v>
      </c>
      <c r="I173" s="75" t="s">
        <v>51</v>
      </c>
      <c r="J173" s="75" t="s">
        <v>44</v>
      </c>
      <c r="K173" s="75">
        <v>2025</v>
      </c>
      <c r="L173" s="75"/>
    </row>
    <row r="174" spans="1:12" ht="270" customHeight="1">
      <c r="A174" s="74" t="s">
        <v>433</v>
      </c>
      <c r="B174" s="114" t="s">
        <v>473</v>
      </c>
      <c r="C174" s="76" t="s">
        <v>472</v>
      </c>
      <c r="D174" s="76">
        <v>2019</v>
      </c>
      <c r="E174" s="75" t="s">
        <v>474</v>
      </c>
      <c r="F174" s="75" t="s">
        <v>475</v>
      </c>
      <c r="G174" s="76">
        <v>5</v>
      </c>
      <c r="H174" s="76">
        <v>0</v>
      </c>
      <c r="I174" s="75"/>
      <c r="J174" s="75"/>
      <c r="K174" s="75"/>
      <c r="L174" s="75"/>
    </row>
    <row r="175" spans="1:12" ht="270" customHeight="1">
      <c r="A175" s="74" t="s">
        <v>22</v>
      </c>
      <c r="B175" s="74" t="s">
        <v>77</v>
      </c>
      <c r="C175" s="76" t="s">
        <v>1167</v>
      </c>
      <c r="D175" s="76">
        <v>2019</v>
      </c>
      <c r="E175" s="75" t="s">
        <v>1168</v>
      </c>
      <c r="F175" s="75" t="s">
        <v>80</v>
      </c>
      <c r="G175" s="76">
        <v>5</v>
      </c>
      <c r="H175" s="76">
        <v>0</v>
      </c>
      <c r="I175" s="75"/>
      <c r="J175" s="75"/>
      <c r="K175" s="75"/>
      <c r="L175" s="75"/>
    </row>
    <row r="176" spans="1:12" ht="270" customHeight="1">
      <c r="A176" s="74" t="s">
        <v>433</v>
      </c>
      <c r="B176" s="74" t="s">
        <v>470</v>
      </c>
      <c r="C176" s="76" t="s">
        <v>471</v>
      </c>
      <c r="D176" s="76">
        <v>2019</v>
      </c>
      <c r="E176" s="75" t="s">
        <v>422</v>
      </c>
      <c r="F176" s="75" t="s">
        <v>423</v>
      </c>
      <c r="G176" s="76">
        <v>5</v>
      </c>
      <c r="H176" s="76">
        <v>0</v>
      </c>
      <c r="I176" s="75"/>
      <c r="J176" s="75"/>
      <c r="K176" s="75"/>
      <c r="L176" s="75"/>
    </row>
    <row r="177" spans="1:12" ht="270" customHeight="1">
      <c r="A177" s="74" t="s">
        <v>24</v>
      </c>
      <c r="B177" s="74" t="s">
        <v>796</v>
      </c>
      <c r="C177" s="76" t="s">
        <v>471</v>
      </c>
      <c r="D177" s="76">
        <v>2019</v>
      </c>
      <c r="E177" s="75" t="s">
        <v>422</v>
      </c>
      <c r="F177" s="75" t="s">
        <v>423</v>
      </c>
      <c r="G177" s="76" t="s">
        <v>161</v>
      </c>
      <c r="H177" s="76">
        <v>0</v>
      </c>
      <c r="I177" s="75" t="s">
        <v>51</v>
      </c>
      <c r="J177" s="75" t="s">
        <v>44</v>
      </c>
      <c r="K177" s="75">
        <v>2025</v>
      </c>
      <c r="L177" s="75"/>
    </row>
    <row r="178" spans="1:12" ht="270" customHeight="1">
      <c r="A178" s="87" t="s">
        <v>22</v>
      </c>
      <c r="B178" s="74" t="s">
        <v>735</v>
      </c>
      <c r="C178" s="76" t="s">
        <v>736</v>
      </c>
      <c r="D178" s="76">
        <v>2019</v>
      </c>
      <c r="E178" s="75" t="s">
        <v>422</v>
      </c>
      <c r="F178" s="75" t="s">
        <v>423</v>
      </c>
      <c r="G178" s="76">
        <v>5</v>
      </c>
      <c r="H178" s="76">
        <v>0</v>
      </c>
      <c r="I178" s="75" t="s">
        <v>94</v>
      </c>
      <c r="J178" s="75"/>
      <c r="K178" s="75"/>
      <c r="L178" s="75"/>
    </row>
    <row r="179" spans="1:12" ht="270" customHeight="1">
      <c r="A179" s="86" t="s">
        <v>639</v>
      </c>
      <c r="B179" s="74" t="s">
        <v>755</v>
      </c>
      <c r="C179" s="75" t="s">
        <v>736</v>
      </c>
      <c r="D179" s="76">
        <v>2019</v>
      </c>
      <c r="E179" s="75" t="s">
        <v>422</v>
      </c>
      <c r="F179" s="75" t="s">
        <v>423</v>
      </c>
      <c r="G179" s="76">
        <v>0</v>
      </c>
      <c r="H179" s="76">
        <v>0</v>
      </c>
      <c r="I179" s="75" t="s">
        <v>228</v>
      </c>
      <c r="J179" s="75" t="s">
        <v>44</v>
      </c>
      <c r="K179" s="75">
        <v>2025</v>
      </c>
      <c r="L179" s="75"/>
    </row>
    <row r="180" spans="1:12" ht="270" customHeight="1">
      <c r="A180" s="74" t="s">
        <v>28</v>
      </c>
      <c r="B180" s="74" t="s">
        <v>1173</v>
      </c>
      <c r="C180" s="75" t="s">
        <v>736</v>
      </c>
      <c r="D180" s="76">
        <v>2019</v>
      </c>
      <c r="E180" s="75" t="s">
        <v>422</v>
      </c>
      <c r="F180" s="75" t="s">
        <v>423</v>
      </c>
      <c r="G180" s="76">
        <v>0</v>
      </c>
      <c r="H180" s="76">
        <v>0</v>
      </c>
      <c r="I180" s="75" t="s">
        <v>228</v>
      </c>
      <c r="J180" s="75" t="s">
        <v>44</v>
      </c>
      <c r="K180" s="75">
        <v>2025</v>
      </c>
      <c r="L180" s="75"/>
    </row>
    <row r="181" spans="1:12" ht="270" customHeight="1">
      <c r="A181" s="74" t="s">
        <v>372</v>
      </c>
      <c r="B181" s="74" t="s">
        <v>1172</v>
      </c>
      <c r="C181" s="76" t="s">
        <v>1171</v>
      </c>
      <c r="D181" s="76">
        <v>2019</v>
      </c>
      <c r="E181" s="75" t="s">
        <v>422</v>
      </c>
      <c r="F181" s="75" t="s">
        <v>423</v>
      </c>
      <c r="G181" s="76">
        <v>3.1</v>
      </c>
      <c r="H181" s="76">
        <v>0</v>
      </c>
      <c r="I181" s="75" t="s">
        <v>51</v>
      </c>
      <c r="J181" s="75" t="s">
        <v>44</v>
      </c>
      <c r="K181" s="75">
        <v>2025</v>
      </c>
      <c r="L181" s="75"/>
    </row>
    <row r="182" spans="1:12" ht="270" customHeight="1">
      <c r="A182" s="74" t="s">
        <v>107</v>
      </c>
      <c r="B182" s="83" t="s">
        <v>908</v>
      </c>
      <c r="C182" s="76" t="s">
        <v>907</v>
      </c>
      <c r="D182" s="76">
        <v>2019</v>
      </c>
      <c r="E182" s="75" t="s">
        <v>906</v>
      </c>
      <c r="F182" s="75" t="s">
        <v>112</v>
      </c>
      <c r="G182" s="76">
        <v>5</v>
      </c>
      <c r="H182" s="76">
        <v>0</v>
      </c>
      <c r="I182" s="75"/>
      <c r="J182" s="75"/>
      <c r="K182" s="75"/>
      <c r="L182" s="75"/>
    </row>
    <row r="183" spans="1:12" ht="270" customHeight="1">
      <c r="A183" s="74" t="s">
        <v>964</v>
      </c>
      <c r="B183" s="74" t="s">
        <v>973</v>
      </c>
      <c r="C183" s="76" t="s">
        <v>974</v>
      </c>
      <c r="D183" s="76">
        <v>2019</v>
      </c>
      <c r="E183" s="75" t="s">
        <v>1254</v>
      </c>
      <c r="F183" s="75" t="s">
        <v>147</v>
      </c>
      <c r="G183" s="76">
        <v>3.1</v>
      </c>
      <c r="H183" s="76">
        <v>0</v>
      </c>
      <c r="I183" s="75" t="s">
        <v>51</v>
      </c>
      <c r="J183" s="75" t="s">
        <v>44</v>
      </c>
      <c r="K183" s="75">
        <v>2025</v>
      </c>
      <c r="L183" s="75"/>
    </row>
    <row r="184" spans="1:12" ht="270" customHeight="1">
      <c r="A184" s="74" t="s">
        <v>24</v>
      </c>
      <c r="B184" s="83" t="s">
        <v>1253</v>
      </c>
      <c r="C184" s="76" t="s">
        <v>921</v>
      </c>
      <c r="D184" s="76">
        <v>2019</v>
      </c>
      <c r="E184" s="75" t="s">
        <v>1240</v>
      </c>
      <c r="F184" s="75" t="s">
        <v>120</v>
      </c>
      <c r="G184" s="76">
        <v>5</v>
      </c>
      <c r="H184" s="76">
        <v>0</v>
      </c>
      <c r="I184" s="75"/>
      <c r="J184" s="75"/>
      <c r="K184" s="75"/>
      <c r="L184" s="75"/>
    </row>
    <row r="185" spans="1:12" ht="270" customHeight="1">
      <c r="A185" s="74" t="s">
        <v>930</v>
      </c>
      <c r="B185" s="83" t="s">
        <v>934</v>
      </c>
      <c r="C185" s="76" t="s">
        <v>1252</v>
      </c>
      <c r="D185" s="76">
        <v>2019</v>
      </c>
      <c r="E185" s="76" t="s">
        <v>1240</v>
      </c>
      <c r="F185" s="75" t="s">
        <v>128</v>
      </c>
      <c r="G185" s="76">
        <v>3.9</v>
      </c>
      <c r="H185" s="76">
        <v>0</v>
      </c>
      <c r="I185" s="75" t="s">
        <v>124</v>
      </c>
      <c r="J185" s="75" t="s">
        <v>44</v>
      </c>
      <c r="K185" s="75">
        <v>2025</v>
      </c>
      <c r="L185" s="75"/>
    </row>
    <row r="186" spans="1:12" ht="270" customHeight="1">
      <c r="A186" s="74" t="s">
        <v>22</v>
      </c>
      <c r="B186" s="74" t="s">
        <v>667</v>
      </c>
      <c r="C186" s="76" t="s">
        <v>666</v>
      </c>
      <c r="D186" s="76">
        <v>2020</v>
      </c>
      <c r="E186" s="75" t="s">
        <v>524</v>
      </c>
      <c r="F186" s="75" t="s">
        <v>1332</v>
      </c>
      <c r="G186" s="76">
        <v>4.0999999999999996</v>
      </c>
      <c r="H186" s="76">
        <v>0</v>
      </c>
      <c r="I186" s="75" t="s">
        <v>51</v>
      </c>
      <c r="J186" s="75" t="s">
        <v>44</v>
      </c>
      <c r="K186" s="75">
        <v>2025</v>
      </c>
      <c r="L186" s="75"/>
    </row>
    <row r="187" spans="1:12" ht="270" customHeight="1">
      <c r="A187" s="74" t="s">
        <v>113</v>
      </c>
      <c r="B187" s="83" t="s">
        <v>911</v>
      </c>
      <c r="C187" s="76" t="s">
        <v>910</v>
      </c>
      <c r="D187" s="76">
        <v>2020</v>
      </c>
      <c r="E187" s="75" t="s">
        <v>912</v>
      </c>
      <c r="F187" s="75" t="s">
        <v>115</v>
      </c>
      <c r="G187" s="76">
        <v>0</v>
      </c>
      <c r="H187" s="76">
        <v>0</v>
      </c>
      <c r="I187" s="75" t="s">
        <v>51</v>
      </c>
      <c r="J187" s="75" t="s">
        <v>44</v>
      </c>
      <c r="K187" s="75">
        <v>2025</v>
      </c>
      <c r="L187" s="75"/>
    </row>
    <row r="188" spans="1:12" ht="270" customHeight="1">
      <c r="A188" s="74" t="s">
        <v>977</v>
      </c>
      <c r="B188" s="83" t="s">
        <v>976</v>
      </c>
      <c r="C188" s="76" t="s">
        <v>978</v>
      </c>
      <c r="D188" s="76">
        <v>2020</v>
      </c>
      <c r="E188" s="75" t="s">
        <v>1233</v>
      </c>
      <c r="F188" s="75" t="s">
        <v>149</v>
      </c>
      <c r="G188" s="76">
        <v>3.1</v>
      </c>
      <c r="H188" s="76">
        <v>0</v>
      </c>
      <c r="I188" s="75" t="s">
        <v>51</v>
      </c>
      <c r="J188" s="75" t="s">
        <v>44</v>
      </c>
      <c r="K188" s="75">
        <v>2025</v>
      </c>
      <c r="L188" s="75"/>
    </row>
    <row r="189" spans="1:12" ht="270" customHeight="1">
      <c r="A189" s="74" t="s">
        <v>967</v>
      </c>
      <c r="B189" s="83" t="s">
        <v>1251</v>
      </c>
      <c r="C189" s="76" t="s">
        <v>980</v>
      </c>
      <c r="D189" s="76">
        <v>2020</v>
      </c>
      <c r="E189" s="75" t="s">
        <v>1250</v>
      </c>
      <c r="F189" s="75" t="s">
        <v>150</v>
      </c>
      <c r="G189" s="76">
        <v>3.1</v>
      </c>
      <c r="H189" s="76">
        <v>0</v>
      </c>
      <c r="I189" s="75" t="s">
        <v>51</v>
      </c>
      <c r="J189" s="75" t="s">
        <v>44</v>
      </c>
      <c r="K189" s="75">
        <v>2025</v>
      </c>
      <c r="L189" s="75"/>
    </row>
    <row r="190" spans="1:12" ht="270" customHeight="1">
      <c r="A190" s="74" t="s">
        <v>946</v>
      </c>
      <c r="B190" s="83" t="s">
        <v>947</v>
      </c>
      <c r="C190" s="76" t="s">
        <v>1248</v>
      </c>
      <c r="D190" s="76">
        <v>2020</v>
      </c>
      <c r="E190" s="75" t="s">
        <v>1249</v>
      </c>
      <c r="F190" s="75" t="s">
        <v>132</v>
      </c>
      <c r="G190" s="76">
        <v>5</v>
      </c>
      <c r="H190" s="76">
        <v>0</v>
      </c>
      <c r="I190" s="75"/>
      <c r="J190" s="75"/>
      <c r="K190" s="75"/>
      <c r="L190" s="75"/>
    </row>
    <row r="191" spans="1:12" ht="270" customHeight="1">
      <c r="A191" s="74" t="s">
        <v>24</v>
      </c>
      <c r="B191" s="83" t="s">
        <v>1247</v>
      </c>
      <c r="C191" s="76" t="s">
        <v>922</v>
      </c>
      <c r="D191" s="76">
        <v>2020</v>
      </c>
      <c r="E191" s="75" t="s">
        <v>1197</v>
      </c>
      <c r="F191" s="75" t="s">
        <v>121</v>
      </c>
      <c r="G191" s="76">
        <v>5</v>
      </c>
      <c r="H191" s="76">
        <v>0</v>
      </c>
      <c r="I191" s="75"/>
      <c r="J191" s="75"/>
      <c r="K191" s="75"/>
      <c r="L191" s="75"/>
    </row>
    <row r="192" spans="1:12" ht="270" customHeight="1">
      <c r="A192" s="74" t="s">
        <v>946</v>
      </c>
      <c r="B192" s="83" t="s">
        <v>1245</v>
      </c>
      <c r="C192" s="76" t="s">
        <v>948</v>
      </c>
      <c r="D192" s="76">
        <v>2020</v>
      </c>
      <c r="E192" s="75" t="s">
        <v>1197</v>
      </c>
      <c r="F192" s="75" t="s">
        <v>1333</v>
      </c>
      <c r="G192" s="76">
        <v>5</v>
      </c>
      <c r="H192" s="76">
        <v>0</v>
      </c>
      <c r="I192" s="75"/>
      <c r="J192" s="75"/>
      <c r="K192" s="75"/>
      <c r="L192" s="75"/>
    </row>
    <row r="193" spans="1:12" ht="270" customHeight="1">
      <c r="A193" s="74" t="s">
        <v>559</v>
      </c>
      <c r="B193" s="74" t="s">
        <v>554</v>
      </c>
      <c r="C193" s="76" t="s">
        <v>553</v>
      </c>
      <c r="D193" s="92">
        <v>2020</v>
      </c>
      <c r="E193" s="75" t="s">
        <v>556</v>
      </c>
      <c r="F193" s="75" t="s">
        <v>555</v>
      </c>
      <c r="G193" s="76">
        <v>5</v>
      </c>
      <c r="H193" s="76">
        <v>0</v>
      </c>
      <c r="I193" s="75"/>
      <c r="J193" s="75"/>
      <c r="K193" s="75"/>
      <c r="L193" s="75"/>
    </row>
    <row r="194" spans="1:12" ht="270" customHeight="1">
      <c r="A194" s="74" t="s">
        <v>761</v>
      </c>
      <c r="B194" s="74" t="s">
        <v>764</v>
      </c>
      <c r="C194" s="76" t="s">
        <v>765</v>
      </c>
      <c r="D194" s="76">
        <v>2021</v>
      </c>
      <c r="E194" s="75" t="s">
        <v>766</v>
      </c>
      <c r="F194" s="89" t="s">
        <v>233</v>
      </c>
      <c r="G194" s="76">
        <v>0</v>
      </c>
      <c r="H194" s="76">
        <v>0</v>
      </c>
      <c r="I194" s="75" t="s">
        <v>234</v>
      </c>
      <c r="J194" s="75" t="s">
        <v>44</v>
      </c>
      <c r="K194" s="75">
        <v>2025</v>
      </c>
      <c r="L194" s="75"/>
    </row>
    <row r="195" spans="1:12" ht="270" customHeight="1">
      <c r="A195" s="74" t="s">
        <v>505</v>
      </c>
      <c r="B195" s="104" t="s">
        <v>503</v>
      </c>
      <c r="C195" s="106" t="s">
        <v>504</v>
      </c>
      <c r="D195" s="76">
        <v>2021</v>
      </c>
      <c r="E195" s="75" t="s">
        <v>506</v>
      </c>
      <c r="F195" s="75" t="s">
        <v>1242</v>
      </c>
      <c r="G195" s="76"/>
      <c r="H195" s="76"/>
      <c r="I195" s="75"/>
      <c r="J195" s="75"/>
      <c r="K195" s="75"/>
      <c r="L195" s="75"/>
    </row>
    <row r="196" spans="1:12" ht="270" customHeight="1">
      <c r="A196" s="74" t="s">
        <v>964</v>
      </c>
      <c r="B196" s="74" t="s">
        <v>982</v>
      </c>
      <c r="C196" s="76" t="s">
        <v>981</v>
      </c>
      <c r="D196" s="76">
        <v>2021</v>
      </c>
      <c r="E196" s="75" t="s">
        <v>1234</v>
      </c>
      <c r="F196" s="75" t="s">
        <v>151</v>
      </c>
      <c r="G196" s="76">
        <v>3.1</v>
      </c>
      <c r="H196" s="76">
        <v>0</v>
      </c>
      <c r="I196" s="75" t="s">
        <v>51</v>
      </c>
      <c r="J196" s="75" t="s">
        <v>44</v>
      </c>
      <c r="K196" s="75">
        <v>2025</v>
      </c>
      <c r="L196" s="75"/>
    </row>
    <row r="197" spans="1:12" ht="270" customHeight="1">
      <c r="A197" s="74" t="s">
        <v>24</v>
      </c>
      <c r="B197" s="74" t="s">
        <v>160</v>
      </c>
      <c r="C197" s="76" t="s">
        <v>1002</v>
      </c>
      <c r="D197" s="76">
        <v>2021</v>
      </c>
      <c r="E197" s="75" t="s">
        <v>1003</v>
      </c>
      <c r="F197" s="75" t="s">
        <v>164</v>
      </c>
      <c r="G197" s="76" t="s">
        <v>161</v>
      </c>
      <c r="H197" s="76">
        <v>0</v>
      </c>
      <c r="I197" s="75" t="s">
        <v>51</v>
      </c>
      <c r="J197" s="75" t="s">
        <v>44</v>
      </c>
      <c r="K197" s="75">
        <v>2025</v>
      </c>
      <c r="L197" s="75"/>
    </row>
    <row r="198" spans="1:12" ht="270" customHeight="1">
      <c r="A198" s="74" t="s">
        <v>433</v>
      </c>
      <c r="B198" s="83" t="s">
        <v>478</v>
      </c>
      <c r="C198" s="76" t="s">
        <v>479</v>
      </c>
      <c r="D198" s="76">
        <v>2021</v>
      </c>
      <c r="E198" s="75" t="s">
        <v>480</v>
      </c>
      <c r="F198" s="75" t="s">
        <v>424</v>
      </c>
      <c r="G198" s="76">
        <v>5</v>
      </c>
      <c r="H198" s="76">
        <v>0</v>
      </c>
      <c r="I198" s="75"/>
      <c r="J198" s="75"/>
      <c r="K198" s="75"/>
      <c r="L198" s="75"/>
    </row>
    <row r="199" spans="1:12" ht="270" customHeight="1">
      <c r="A199" s="74" t="s">
        <v>558</v>
      </c>
      <c r="B199" s="74" t="s">
        <v>557</v>
      </c>
      <c r="C199" s="76" t="s">
        <v>561</v>
      </c>
      <c r="D199" s="76">
        <v>2021</v>
      </c>
      <c r="E199" s="75" t="s">
        <v>562</v>
      </c>
      <c r="F199" s="75" t="s">
        <v>563</v>
      </c>
      <c r="G199" s="76">
        <v>5</v>
      </c>
      <c r="H199" s="76">
        <v>0</v>
      </c>
      <c r="I199" s="75"/>
      <c r="J199" s="75"/>
      <c r="K199" s="75"/>
      <c r="L199" s="75"/>
    </row>
    <row r="200" spans="1:12" ht="270" customHeight="1">
      <c r="A200" s="87" t="s">
        <v>22</v>
      </c>
      <c r="B200" s="87" t="s">
        <v>668</v>
      </c>
      <c r="C200" s="92" t="s">
        <v>669</v>
      </c>
      <c r="D200" s="92">
        <v>2021</v>
      </c>
      <c r="E200" s="89" t="s">
        <v>670</v>
      </c>
      <c r="F200" s="89" t="s">
        <v>62</v>
      </c>
      <c r="G200" s="76">
        <v>4.0999999999999996</v>
      </c>
      <c r="H200" s="76">
        <v>0</v>
      </c>
      <c r="I200" s="75" t="s">
        <v>51</v>
      </c>
      <c r="J200" s="75" t="s">
        <v>44</v>
      </c>
      <c r="K200" s="75">
        <v>2025</v>
      </c>
      <c r="L200" s="75"/>
    </row>
    <row r="201" spans="1:12" ht="270" customHeight="1">
      <c r="A201" s="74" t="s">
        <v>45</v>
      </c>
      <c r="B201" s="83" t="s">
        <v>565</v>
      </c>
      <c r="C201" s="76" t="s">
        <v>564</v>
      </c>
      <c r="D201" s="76">
        <v>2021</v>
      </c>
      <c r="E201" s="75" t="s">
        <v>566</v>
      </c>
      <c r="F201" s="75" t="s">
        <v>567</v>
      </c>
      <c r="G201" s="76">
        <v>5</v>
      </c>
      <c r="H201" s="76">
        <v>0</v>
      </c>
      <c r="I201" s="75"/>
      <c r="J201" s="75"/>
      <c r="K201" s="75"/>
      <c r="L201" s="75"/>
    </row>
    <row r="202" spans="1:12" ht="270" customHeight="1">
      <c r="A202" s="83" t="s">
        <v>952</v>
      </c>
      <c r="B202" s="83" t="s">
        <v>951</v>
      </c>
      <c r="C202" s="76" t="s">
        <v>1241</v>
      </c>
      <c r="D202" s="76">
        <v>2021</v>
      </c>
      <c r="E202" s="75" t="s">
        <v>950</v>
      </c>
      <c r="F202" s="75" t="s">
        <v>135</v>
      </c>
      <c r="G202" s="76">
        <v>4.3</v>
      </c>
      <c r="H202" s="76">
        <v>0</v>
      </c>
      <c r="I202" s="75" t="s">
        <v>51</v>
      </c>
      <c r="J202" s="75" t="s">
        <v>44</v>
      </c>
      <c r="K202" s="75">
        <v>2025</v>
      </c>
      <c r="L202" s="75"/>
    </row>
    <row r="203" spans="1:12" ht="270" customHeight="1">
      <c r="A203" s="74" t="s">
        <v>433</v>
      </c>
      <c r="B203" s="74" t="s">
        <v>442</v>
      </c>
      <c r="C203" s="75" t="s">
        <v>606</v>
      </c>
      <c r="D203" s="76">
        <v>2021</v>
      </c>
      <c r="E203" s="75" t="s">
        <v>418</v>
      </c>
      <c r="F203" s="75" t="s">
        <v>419</v>
      </c>
      <c r="G203" s="76">
        <v>5</v>
      </c>
      <c r="H203" s="76">
        <v>0</v>
      </c>
      <c r="I203" s="75"/>
      <c r="J203" s="75"/>
      <c r="K203" s="75"/>
      <c r="L203" s="75"/>
    </row>
    <row r="204" spans="1:12" ht="270" customHeight="1">
      <c r="A204" s="74" t="s">
        <v>495</v>
      </c>
      <c r="B204" s="98" t="s">
        <v>499</v>
      </c>
      <c r="C204" s="76" t="s">
        <v>496</v>
      </c>
      <c r="D204" s="76">
        <v>2021</v>
      </c>
      <c r="E204" s="75" t="s">
        <v>497</v>
      </c>
      <c r="F204" s="85" t="s">
        <v>498</v>
      </c>
      <c r="G204" s="76">
        <v>5</v>
      </c>
      <c r="H204" s="76">
        <v>0</v>
      </c>
      <c r="I204" s="75"/>
      <c r="J204" s="75"/>
      <c r="K204" s="75"/>
      <c r="L204" s="75"/>
    </row>
    <row r="205" spans="1:12" ht="270" customHeight="1">
      <c r="A205" s="74" t="s">
        <v>28</v>
      </c>
      <c r="B205" s="74" t="s">
        <v>818</v>
      </c>
      <c r="C205" s="76" t="s">
        <v>817</v>
      </c>
      <c r="D205" s="76">
        <v>2021</v>
      </c>
      <c r="E205" s="75" t="s">
        <v>819</v>
      </c>
      <c r="F205" s="75" t="s">
        <v>229</v>
      </c>
      <c r="G205" s="76">
        <v>0</v>
      </c>
      <c r="H205" s="76">
        <v>0</v>
      </c>
      <c r="I205" s="75" t="s">
        <v>227</v>
      </c>
      <c r="J205" s="75" t="s">
        <v>44</v>
      </c>
      <c r="K205" s="75">
        <v>2025</v>
      </c>
      <c r="L205" s="75"/>
    </row>
    <row r="206" spans="1:12" ht="270" customHeight="1">
      <c r="A206" s="74" t="s">
        <v>596</v>
      </c>
      <c r="B206" s="74" t="s">
        <v>607</v>
      </c>
      <c r="C206" s="75" t="s">
        <v>608</v>
      </c>
      <c r="D206" s="76">
        <v>2021</v>
      </c>
      <c r="E206" s="75" t="s">
        <v>609</v>
      </c>
      <c r="F206" s="75" t="s">
        <v>1334</v>
      </c>
      <c r="G206" s="76">
        <v>4.2</v>
      </c>
      <c r="H206" s="76">
        <v>0</v>
      </c>
      <c r="I206" s="75" t="s">
        <v>51</v>
      </c>
      <c r="J206" s="75" t="s">
        <v>44</v>
      </c>
      <c r="K206" s="75">
        <v>2025</v>
      </c>
      <c r="L206" s="75"/>
    </row>
    <row r="207" spans="1:12" ht="270" customHeight="1">
      <c r="A207" s="74" t="s">
        <v>196</v>
      </c>
      <c r="B207" s="83" t="s">
        <v>854</v>
      </c>
      <c r="C207" s="76" t="s">
        <v>855</v>
      </c>
      <c r="D207" s="76">
        <v>2022</v>
      </c>
      <c r="E207" s="75" t="s">
        <v>524</v>
      </c>
      <c r="F207" s="75" t="s">
        <v>210</v>
      </c>
      <c r="G207" s="76">
        <v>3.1</v>
      </c>
      <c r="H207" s="76">
        <v>0</v>
      </c>
      <c r="I207" s="75" t="s">
        <v>198</v>
      </c>
      <c r="J207" s="75" t="s">
        <v>44</v>
      </c>
      <c r="K207" s="75">
        <v>2025</v>
      </c>
      <c r="L207" s="75"/>
    </row>
    <row r="208" spans="1:12" ht="270" customHeight="1">
      <c r="A208" s="74" t="s">
        <v>952</v>
      </c>
      <c r="B208" s="83" t="s">
        <v>957</v>
      </c>
      <c r="C208" s="76" t="s">
        <v>958</v>
      </c>
      <c r="D208" s="76">
        <v>2022</v>
      </c>
      <c r="E208" s="75" t="s">
        <v>928</v>
      </c>
      <c r="F208" s="75" t="s">
        <v>138</v>
      </c>
      <c r="G208" s="76">
        <v>4.3</v>
      </c>
      <c r="H208" s="76">
        <v>0</v>
      </c>
      <c r="I208" s="75" t="s">
        <v>51</v>
      </c>
      <c r="J208" s="75" t="s">
        <v>44</v>
      </c>
      <c r="K208" s="75">
        <v>2025</v>
      </c>
      <c r="L208" s="75"/>
    </row>
    <row r="209" spans="1:12" ht="270" customHeight="1">
      <c r="A209" s="74" t="s">
        <v>196</v>
      </c>
      <c r="B209" s="83" t="s">
        <v>847</v>
      </c>
      <c r="C209" s="76" t="s">
        <v>737</v>
      </c>
      <c r="D209" s="76">
        <v>2022</v>
      </c>
      <c r="E209" s="75" t="s">
        <v>524</v>
      </c>
      <c r="F209" s="75" t="s">
        <v>213</v>
      </c>
      <c r="G209" s="76">
        <v>3.1</v>
      </c>
      <c r="H209" s="76">
        <v>0</v>
      </c>
      <c r="I209" s="75" t="s">
        <v>198</v>
      </c>
      <c r="J209" s="75" t="s">
        <v>44</v>
      </c>
      <c r="K209" s="75">
        <v>2025</v>
      </c>
      <c r="L209" s="75"/>
    </row>
    <row r="210" spans="1:12" ht="270" customHeight="1">
      <c r="A210" s="74" t="s">
        <v>611</v>
      </c>
      <c r="B210" s="74" t="s">
        <v>610</v>
      </c>
      <c r="C210" s="75" t="s">
        <v>612</v>
      </c>
      <c r="D210" s="76">
        <v>2022</v>
      </c>
      <c r="E210" s="75" t="s">
        <v>613</v>
      </c>
      <c r="F210" s="75" t="s">
        <v>614</v>
      </c>
      <c r="G210" s="76">
        <v>4.2</v>
      </c>
      <c r="H210" s="76">
        <v>0</v>
      </c>
      <c r="I210" s="75" t="s">
        <v>51</v>
      </c>
      <c r="J210" s="75" t="s">
        <v>44</v>
      </c>
      <c r="K210" s="75">
        <v>2025</v>
      </c>
      <c r="L210" s="75"/>
    </row>
    <row r="211" spans="1:12" ht="270" customHeight="1">
      <c r="A211" s="74" t="s">
        <v>22</v>
      </c>
      <c r="B211" s="83" t="s">
        <v>748</v>
      </c>
      <c r="C211" s="76" t="s">
        <v>747</v>
      </c>
      <c r="D211" s="76">
        <v>2022</v>
      </c>
      <c r="E211" s="75" t="s">
        <v>749</v>
      </c>
      <c r="F211" s="75" t="s">
        <v>106</v>
      </c>
      <c r="G211" s="76">
        <v>0</v>
      </c>
      <c r="H211" s="76">
        <v>0</v>
      </c>
      <c r="I211" s="75" t="s">
        <v>103</v>
      </c>
      <c r="J211" s="75"/>
      <c r="K211" s="75"/>
      <c r="L211" s="75"/>
    </row>
    <row r="212" spans="1:12" ht="270" customHeight="1">
      <c r="A212" s="74" t="s">
        <v>24</v>
      </c>
      <c r="B212" s="74" t="s">
        <v>798</v>
      </c>
      <c r="C212" s="76" t="s">
        <v>797</v>
      </c>
      <c r="D212" s="76">
        <v>2022</v>
      </c>
      <c r="E212" s="75" t="s">
        <v>799</v>
      </c>
      <c r="F212" s="75" t="s">
        <v>171</v>
      </c>
      <c r="G212" s="76" t="s">
        <v>161</v>
      </c>
      <c r="H212" s="76">
        <v>0</v>
      </c>
      <c r="I212" s="75" t="s">
        <v>51</v>
      </c>
      <c r="J212" s="75" t="s">
        <v>44</v>
      </c>
      <c r="K212" s="75">
        <v>2025</v>
      </c>
      <c r="L212" s="75"/>
    </row>
    <row r="213" spans="1:12" ht="270" customHeight="1">
      <c r="A213" s="86" t="s">
        <v>24</v>
      </c>
      <c r="B213" s="101" t="s">
        <v>794</v>
      </c>
      <c r="C213" s="76" t="s">
        <v>793</v>
      </c>
      <c r="D213" s="76">
        <v>2022</v>
      </c>
      <c r="E213" s="75" t="s">
        <v>795</v>
      </c>
      <c r="F213" s="75" t="s">
        <v>171</v>
      </c>
      <c r="G213" s="76" t="s">
        <v>161</v>
      </c>
      <c r="H213" s="76">
        <v>0</v>
      </c>
      <c r="I213" s="75" t="s">
        <v>51</v>
      </c>
      <c r="J213" s="75" t="s">
        <v>44</v>
      </c>
      <c r="K213" s="75">
        <v>2025</v>
      </c>
      <c r="L213" s="75"/>
    </row>
    <row r="214" spans="1:12" ht="270" customHeight="1">
      <c r="A214" s="74" t="s">
        <v>22</v>
      </c>
      <c r="B214" s="74" t="s">
        <v>655</v>
      </c>
      <c r="C214" s="76" t="s">
        <v>654</v>
      </c>
      <c r="D214" s="76">
        <v>2022</v>
      </c>
      <c r="E214" s="75" t="s">
        <v>656</v>
      </c>
      <c r="F214" s="75" t="s">
        <v>1335</v>
      </c>
      <c r="G214" s="76">
        <v>5</v>
      </c>
      <c r="H214" s="76">
        <v>0</v>
      </c>
      <c r="I214" s="75"/>
      <c r="J214" s="75"/>
      <c r="K214" s="75"/>
      <c r="L214" s="75"/>
    </row>
    <row r="215" spans="1:12" ht="270" customHeight="1">
      <c r="A215" s="74" t="s">
        <v>372</v>
      </c>
      <c r="B215" s="74" t="s">
        <v>990</v>
      </c>
      <c r="C215" s="76" t="s">
        <v>991</v>
      </c>
      <c r="D215" s="76">
        <v>2022</v>
      </c>
      <c r="E215" s="75" t="s">
        <v>1240</v>
      </c>
      <c r="F215" s="75" t="s">
        <v>154</v>
      </c>
      <c r="G215" s="76">
        <v>3.1</v>
      </c>
      <c r="H215" s="76">
        <v>0</v>
      </c>
      <c r="I215" s="75" t="s">
        <v>51</v>
      </c>
      <c r="J215" s="75" t="s">
        <v>44</v>
      </c>
      <c r="K215" s="75">
        <v>2025</v>
      </c>
      <c r="L215" s="75"/>
    </row>
    <row r="216" spans="1:12" ht="270" customHeight="1">
      <c r="A216" s="74" t="s">
        <v>1032</v>
      </c>
      <c r="B216" s="87" t="s">
        <v>477</v>
      </c>
      <c r="C216" s="92" t="s">
        <v>476</v>
      </c>
      <c r="D216" s="92">
        <v>2022</v>
      </c>
      <c r="E216" s="89" t="s">
        <v>1040</v>
      </c>
      <c r="F216" s="75" t="s">
        <v>1336</v>
      </c>
      <c r="G216" s="76"/>
      <c r="H216" s="76"/>
      <c r="I216" s="75"/>
      <c r="J216" s="75"/>
      <c r="K216" s="75"/>
      <c r="L216" s="75"/>
    </row>
    <row r="217" spans="1:12" ht="270" customHeight="1">
      <c r="A217" s="74" t="s">
        <v>1032</v>
      </c>
      <c r="B217" s="87" t="s">
        <v>477</v>
      </c>
      <c r="C217" s="92" t="s">
        <v>476</v>
      </c>
      <c r="D217" s="92">
        <v>2022</v>
      </c>
      <c r="E217" s="89" t="s">
        <v>1039</v>
      </c>
      <c r="F217" s="75" t="s">
        <v>1033</v>
      </c>
      <c r="G217" s="76"/>
      <c r="H217" s="76"/>
      <c r="I217" s="75"/>
      <c r="J217" s="75"/>
      <c r="K217" s="75"/>
      <c r="L217" s="75"/>
    </row>
    <row r="218" spans="1:12" ht="270" customHeight="1">
      <c r="A218" s="74"/>
      <c r="B218" s="87" t="s">
        <v>477</v>
      </c>
      <c r="C218" s="92" t="s">
        <v>476</v>
      </c>
      <c r="D218" s="92">
        <v>2022</v>
      </c>
      <c r="E218" s="89" t="s">
        <v>1038</v>
      </c>
      <c r="F218" s="75" t="s">
        <v>1337</v>
      </c>
      <c r="G218" s="76"/>
      <c r="H218" s="76"/>
      <c r="I218" s="75"/>
      <c r="J218" s="75"/>
      <c r="K218" s="75"/>
      <c r="L218" s="75"/>
    </row>
    <row r="219" spans="1:12" ht="270" customHeight="1">
      <c r="A219" s="74"/>
      <c r="B219" s="87" t="s">
        <v>477</v>
      </c>
      <c r="C219" s="92" t="s">
        <v>476</v>
      </c>
      <c r="D219" s="92">
        <v>2022</v>
      </c>
      <c r="E219" s="89" t="s">
        <v>1037</v>
      </c>
      <c r="F219" s="75" t="s">
        <v>1338</v>
      </c>
      <c r="G219" s="76"/>
      <c r="H219" s="76"/>
      <c r="I219" s="75"/>
      <c r="J219" s="75"/>
      <c r="K219" s="75"/>
      <c r="L219" s="75"/>
    </row>
    <row r="220" spans="1:12" ht="270" customHeight="1">
      <c r="A220" s="74" t="s">
        <v>1032</v>
      </c>
      <c r="B220" s="87" t="s">
        <v>477</v>
      </c>
      <c r="C220" s="92" t="s">
        <v>476</v>
      </c>
      <c r="D220" s="92">
        <v>2022</v>
      </c>
      <c r="E220" s="89" t="s">
        <v>1036</v>
      </c>
      <c r="F220" s="75" t="s">
        <v>1339</v>
      </c>
      <c r="G220" s="76"/>
      <c r="H220" s="76"/>
      <c r="I220" s="75"/>
      <c r="J220" s="75"/>
      <c r="K220" s="75"/>
      <c r="L220" s="75"/>
    </row>
    <row r="221" spans="1:12" ht="270" customHeight="1">
      <c r="A221" s="74" t="s">
        <v>1032</v>
      </c>
      <c r="B221" s="87" t="s">
        <v>477</v>
      </c>
      <c r="C221" s="92" t="s">
        <v>476</v>
      </c>
      <c r="D221" s="92">
        <v>2022</v>
      </c>
      <c r="E221" s="89" t="s">
        <v>1035</v>
      </c>
      <c r="F221" s="75" t="s">
        <v>1340</v>
      </c>
      <c r="G221" s="76"/>
      <c r="H221" s="76"/>
      <c r="I221" s="75"/>
      <c r="J221" s="75"/>
      <c r="K221" s="75"/>
      <c r="L221" s="75"/>
    </row>
    <row r="222" spans="1:12" ht="270" customHeight="1">
      <c r="A222" s="74" t="s">
        <v>1032</v>
      </c>
      <c r="B222" s="87" t="s">
        <v>477</v>
      </c>
      <c r="C222" s="92" t="s">
        <v>476</v>
      </c>
      <c r="D222" s="92">
        <v>2022</v>
      </c>
      <c r="E222" s="89" t="s">
        <v>1034</v>
      </c>
      <c r="F222" s="75" t="s">
        <v>1323</v>
      </c>
      <c r="G222" s="76"/>
      <c r="H222" s="76"/>
      <c r="I222" s="75"/>
      <c r="J222" s="75"/>
      <c r="K222" s="75"/>
      <c r="L222" s="75"/>
    </row>
    <row r="223" spans="1:12" ht="270" customHeight="1">
      <c r="A223" s="74" t="s">
        <v>1032</v>
      </c>
      <c r="B223" s="87" t="s">
        <v>477</v>
      </c>
      <c r="C223" s="92" t="s">
        <v>476</v>
      </c>
      <c r="D223" s="92">
        <v>2022</v>
      </c>
      <c r="E223" s="89" t="s">
        <v>1041</v>
      </c>
      <c r="F223" s="75" t="s">
        <v>1042</v>
      </c>
      <c r="G223" s="76"/>
      <c r="H223" s="76"/>
      <c r="I223" s="75"/>
      <c r="J223" s="75"/>
      <c r="K223" s="75"/>
      <c r="L223" s="75"/>
    </row>
    <row r="224" spans="1:12" ht="270" customHeight="1">
      <c r="A224" s="74" t="s">
        <v>1032</v>
      </c>
      <c r="B224" s="87" t="s">
        <v>477</v>
      </c>
      <c r="C224" s="92" t="s">
        <v>476</v>
      </c>
      <c r="D224" s="92">
        <v>2022</v>
      </c>
      <c r="E224" s="89" t="s">
        <v>1043</v>
      </c>
      <c r="F224" s="75" t="s">
        <v>1044</v>
      </c>
      <c r="G224" s="76"/>
      <c r="H224" s="76"/>
      <c r="I224" s="75"/>
      <c r="J224" s="75"/>
      <c r="K224" s="75"/>
      <c r="L224" s="75"/>
    </row>
    <row r="225" spans="1:12" ht="270" customHeight="1">
      <c r="A225" s="74" t="s">
        <v>1045</v>
      </c>
      <c r="B225" s="87" t="s">
        <v>477</v>
      </c>
      <c r="C225" s="92" t="s">
        <v>476</v>
      </c>
      <c r="D225" s="92">
        <v>2022</v>
      </c>
      <c r="E225" s="89" t="s">
        <v>1046</v>
      </c>
      <c r="F225" s="75" t="s">
        <v>1341</v>
      </c>
      <c r="G225" s="76"/>
      <c r="H225" s="76"/>
      <c r="I225" s="75"/>
      <c r="J225" s="75"/>
      <c r="K225" s="75"/>
      <c r="L225" s="75"/>
    </row>
    <row r="226" spans="1:12" ht="270" customHeight="1">
      <c r="A226" s="74" t="s">
        <v>1045</v>
      </c>
      <c r="B226" s="87" t="s">
        <v>477</v>
      </c>
      <c r="C226" s="92" t="s">
        <v>476</v>
      </c>
      <c r="D226" s="92">
        <v>2022</v>
      </c>
      <c r="E226" s="89" t="s">
        <v>1046</v>
      </c>
      <c r="F226" s="75" t="s">
        <v>1321</v>
      </c>
      <c r="G226" s="76"/>
      <c r="H226" s="76"/>
      <c r="I226" s="75"/>
      <c r="J226" s="75"/>
      <c r="K226" s="75"/>
      <c r="L226" s="75"/>
    </row>
    <row r="227" spans="1:12" ht="270" customHeight="1">
      <c r="A227" s="74" t="s">
        <v>1032</v>
      </c>
      <c r="B227" s="87" t="s">
        <v>477</v>
      </c>
      <c r="C227" s="92" t="s">
        <v>476</v>
      </c>
      <c r="D227" s="92">
        <v>2022</v>
      </c>
      <c r="E227" s="89" t="s">
        <v>1047</v>
      </c>
      <c r="F227" s="75" t="s">
        <v>1342</v>
      </c>
      <c r="G227" s="76"/>
      <c r="H227" s="76"/>
      <c r="I227" s="75"/>
      <c r="J227" s="75"/>
      <c r="K227" s="75"/>
      <c r="L227" s="75"/>
    </row>
    <row r="228" spans="1:12" ht="270" customHeight="1">
      <c r="A228" s="74" t="s">
        <v>1032</v>
      </c>
      <c r="B228" s="87" t="s">
        <v>477</v>
      </c>
      <c r="C228" s="92" t="s">
        <v>476</v>
      </c>
      <c r="D228" s="92">
        <v>2022</v>
      </c>
      <c r="E228" s="89" t="s">
        <v>1048</v>
      </c>
      <c r="F228" s="75" t="s">
        <v>1049</v>
      </c>
      <c r="G228" s="76"/>
      <c r="H228" s="76"/>
      <c r="I228" s="75"/>
      <c r="J228" s="75"/>
      <c r="K228" s="75"/>
      <c r="L228" s="75"/>
    </row>
    <row r="229" spans="1:12" ht="270" customHeight="1">
      <c r="A229" s="74" t="s">
        <v>1032</v>
      </c>
      <c r="B229" s="87" t="s">
        <v>477</v>
      </c>
      <c r="C229" s="92" t="s">
        <v>476</v>
      </c>
      <c r="D229" s="92">
        <v>2022</v>
      </c>
      <c r="E229" s="89" t="s">
        <v>1050</v>
      </c>
      <c r="F229" s="75" t="s">
        <v>1343</v>
      </c>
      <c r="G229" s="76"/>
      <c r="H229" s="76"/>
      <c r="I229" s="75"/>
      <c r="J229" s="75"/>
      <c r="K229" s="75"/>
      <c r="L229" s="75"/>
    </row>
    <row r="230" spans="1:12" ht="270" customHeight="1">
      <c r="A230" s="74" t="s">
        <v>1032</v>
      </c>
      <c r="B230" s="87" t="s">
        <v>477</v>
      </c>
      <c r="C230" s="92" t="s">
        <v>476</v>
      </c>
      <c r="D230" s="92">
        <v>2022</v>
      </c>
      <c r="E230" s="89" t="s">
        <v>1051</v>
      </c>
      <c r="F230" s="75" t="s">
        <v>1344</v>
      </c>
      <c r="G230" s="76"/>
      <c r="H230" s="76"/>
      <c r="I230" s="75"/>
      <c r="J230" s="75"/>
      <c r="K230" s="75"/>
      <c r="L230" s="75"/>
    </row>
    <row r="231" spans="1:12" ht="270" customHeight="1">
      <c r="A231" s="74" t="s">
        <v>1032</v>
      </c>
      <c r="B231" s="87" t="s">
        <v>477</v>
      </c>
      <c r="C231" s="92" t="s">
        <v>476</v>
      </c>
      <c r="D231" s="92">
        <v>2022</v>
      </c>
      <c r="E231" s="89" t="s">
        <v>1052</v>
      </c>
      <c r="F231" s="75" t="s">
        <v>1345</v>
      </c>
      <c r="G231" s="76"/>
      <c r="H231" s="76"/>
      <c r="I231" s="75"/>
      <c r="J231" s="75"/>
      <c r="K231" s="75"/>
      <c r="L231" s="75"/>
    </row>
    <row r="232" spans="1:12" ht="270" customHeight="1">
      <c r="A232" s="74" t="s">
        <v>1032</v>
      </c>
      <c r="B232" s="87" t="s">
        <v>477</v>
      </c>
      <c r="C232" s="92" t="s">
        <v>476</v>
      </c>
      <c r="D232" s="92">
        <v>2022</v>
      </c>
      <c r="E232" s="89" t="s">
        <v>1053</v>
      </c>
      <c r="F232" s="75" t="s">
        <v>1235</v>
      </c>
      <c r="G232" s="76"/>
      <c r="H232" s="76"/>
      <c r="I232" s="75"/>
      <c r="J232" s="75"/>
      <c r="K232" s="75"/>
      <c r="L232" s="75"/>
    </row>
    <row r="233" spans="1:12" ht="270" customHeight="1">
      <c r="A233" s="74" t="s">
        <v>1032</v>
      </c>
      <c r="B233" s="87" t="s">
        <v>477</v>
      </c>
      <c r="C233" s="92" t="s">
        <v>476</v>
      </c>
      <c r="D233" s="92">
        <v>2022</v>
      </c>
      <c r="E233" s="89" t="s">
        <v>1054</v>
      </c>
      <c r="F233" s="75" t="s">
        <v>1316</v>
      </c>
      <c r="G233" s="76"/>
      <c r="H233" s="76"/>
      <c r="I233" s="75"/>
      <c r="J233" s="75"/>
      <c r="K233" s="75"/>
      <c r="L233" s="75"/>
    </row>
    <row r="234" spans="1:12" ht="270" customHeight="1">
      <c r="A234" s="74" t="s">
        <v>1032</v>
      </c>
      <c r="B234" s="115" t="s">
        <v>477</v>
      </c>
      <c r="C234" s="92" t="s">
        <v>476</v>
      </c>
      <c r="D234" s="92">
        <v>2022</v>
      </c>
      <c r="E234" s="89" t="s">
        <v>1055</v>
      </c>
      <c r="F234" s="75" t="s">
        <v>1236</v>
      </c>
      <c r="G234" s="76"/>
      <c r="H234" s="76"/>
      <c r="I234" s="75"/>
      <c r="J234" s="75"/>
      <c r="K234" s="75"/>
      <c r="L234" s="75"/>
    </row>
    <row r="235" spans="1:12" ht="270" customHeight="1">
      <c r="A235" s="74" t="s">
        <v>1032</v>
      </c>
      <c r="B235" s="87" t="s">
        <v>477</v>
      </c>
      <c r="C235" s="92" t="s">
        <v>476</v>
      </c>
      <c r="D235" s="92">
        <v>2022</v>
      </c>
      <c r="E235" s="89" t="s">
        <v>1056</v>
      </c>
      <c r="F235" s="75" t="s">
        <v>1237</v>
      </c>
      <c r="G235" s="76"/>
      <c r="H235" s="76"/>
      <c r="I235" s="75"/>
      <c r="J235" s="75"/>
      <c r="K235" s="75"/>
      <c r="L235" s="75"/>
    </row>
    <row r="236" spans="1:12" ht="270" customHeight="1">
      <c r="A236" s="74" t="s">
        <v>1032</v>
      </c>
      <c r="B236" s="115" t="s">
        <v>477</v>
      </c>
      <c r="C236" s="92" t="s">
        <v>476</v>
      </c>
      <c r="D236" s="92">
        <v>2022</v>
      </c>
      <c r="E236" s="89" t="s">
        <v>1057</v>
      </c>
      <c r="F236" s="75" t="s">
        <v>1319</v>
      </c>
      <c r="G236" s="76"/>
      <c r="H236" s="76"/>
      <c r="I236" s="75"/>
      <c r="J236" s="75"/>
      <c r="K236" s="75"/>
      <c r="L236" s="75"/>
    </row>
    <row r="237" spans="1:12" ht="270" customHeight="1">
      <c r="A237" s="74" t="s">
        <v>1032</v>
      </c>
      <c r="B237" s="87" t="s">
        <v>477</v>
      </c>
      <c r="C237" s="92" t="s">
        <v>476</v>
      </c>
      <c r="D237" s="92">
        <v>2022</v>
      </c>
      <c r="E237" s="89" t="s">
        <v>1058</v>
      </c>
      <c r="F237" s="75" t="s">
        <v>1318</v>
      </c>
      <c r="G237" s="76"/>
      <c r="H237" s="76"/>
      <c r="I237" s="75"/>
      <c r="J237" s="75"/>
      <c r="K237" s="75"/>
      <c r="L237" s="75"/>
    </row>
    <row r="238" spans="1:12" ht="270" customHeight="1">
      <c r="A238" s="74" t="s">
        <v>1032</v>
      </c>
      <c r="B238" s="87" t="s">
        <v>477</v>
      </c>
      <c r="C238" s="92" t="s">
        <v>476</v>
      </c>
      <c r="D238" s="92">
        <v>2022</v>
      </c>
      <c r="E238" s="89" t="s">
        <v>1059</v>
      </c>
      <c r="F238" s="75" t="s">
        <v>1060</v>
      </c>
      <c r="G238" s="76"/>
      <c r="H238" s="76"/>
      <c r="I238" s="75"/>
      <c r="J238" s="75"/>
      <c r="K238" s="75"/>
      <c r="L238" s="75"/>
    </row>
    <row r="239" spans="1:12" ht="270" customHeight="1">
      <c r="A239" s="74" t="s">
        <v>1032</v>
      </c>
      <c r="B239" s="87" t="s">
        <v>477</v>
      </c>
      <c r="C239" s="92" t="s">
        <v>476</v>
      </c>
      <c r="D239" s="92">
        <v>2022</v>
      </c>
      <c r="E239" s="89" t="s">
        <v>1061</v>
      </c>
      <c r="F239" s="75" t="s">
        <v>1238</v>
      </c>
      <c r="G239" s="76"/>
      <c r="H239" s="76"/>
      <c r="I239" s="75"/>
      <c r="J239" s="75"/>
      <c r="K239" s="75"/>
      <c r="L239" s="75"/>
    </row>
    <row r="240" spans="1:12" ht="270" customHeight="1">
      <c r="A240" s="74" t="s">
        <v>22</v>
      </c>
      <c r="B240" s="74" t="s">
        <v>543</v>
      </c>
      <c r="C240" s="75" t="s">
        <v>476</v>
      </c>
      <c r="D240" s="76">
        <v>2022</v>
      </c>
      <c r="E240" s="75" t="s">
        <v>544</v>
      </c>
      <c r="F240" s="75" t="s">
        <v>1239</v>
      </c>
      <c r="G240" s="76">
        <v>4.5</v>
      </c>
      <c r="H240" s="76">
        <v>0</v>
      </c>
      <c r="I240" s="75" t="s">
        <v>43</v>
      </c>
      <c r="J240" s="75" t="s">
        <v>44</v>
      </c>
      <c r="K240" s="75">
        <v>2025</v>
      </c>
      <c r="L240" s="75"/>
    </row>
    <row r="241" spans="1:12" ht="270" customHeight="1">
      <c r="A241" s="74" t="s">
        <v>22</v>
      </c>
      <c r="B241" s="74" t="s">
        <v>569</v>
      </c>
      <c r="C241" s="75" t="s">
        <v>568</v>
      </c>
      <c r="D241" s="76">
        <v>2022</v>
      </c>
      <c r="E241" s="75" t="s">
        <v>570</v>
      </c>
      <c r="F241" s="75" t="s">
        <v>571</v>
      </c>
      <c r="G241" s="76">
        <v>5</v>
      </c>
      <c r="H241" s="76">
        <v>0</v>
      </c>
      <c r="I241" s="75"/>
      <c r="J241" s="75"/>
      <c r="K241" s="75"/>
      <c r="L241" s="75"/>
    </row>
    <row r="242" spans="1:12" ht="270" customHeight="1">
      <c r="A242" s="74" t="s">
        <v>433</v>
      </c>
      <c r="B242" s="74" t="s">
        <v>481</v>
      </c>
      <c r="C242" s="76" t="s">
        <v>482</v>
      </c>
      <c r="D242" s="76">
        <v>2022</v>
      </c>
      <c r="E242" s="75" t="s">
        <v>484</v>
      </c>
      <c r="F242" s="75" t="s">
        <v>483</v>
      </c>
      <c r="G242" s="76">
        <v>5</v>
      </c>
      <c r="H242" s="76">
        <v>0</v>
      </c>
      <c r="I242" s="75"/>
      <c r="J242" s="75"/>
      <c r="K242" s="75"/>
      <c r="L242" s="75"/>
    </row>
    <row r="243" spans="1:12" ht="270" customHeight="1">
      <c r="A243" s="74" t="s">
        <v>433</v>
      </c>
      <c r="B243" s="98" t="s">
        <v>488</v>
      </c>
      <c r="C243" s="76" t="s">
        <v>487</v>
      </c>
      <c r="D243" s="76">
        <v>2022</v>
      </c>
      <c r="E243" s="75" t="s">
        <v>489</v>
      </c>
      <c r="F243" s="75" t="s">
        <v>1346</v>
      </c>
      <c r="G243" s="76">
        <v>5</v>
      </c>
      <c r="H243" s="76">
        <v>0</v>
      </c>
      <c r="I243" s="75"/>
      <c r="J243" s="75"/>
      <c r="K243" s="75"/>
      <c r="L243" s="75"/>
    </row>
    <row r="244" spans="1:12" ht="270" customHeight="1">
      <c r="A244" s="74" t="s">
        <v>196</v>
      </c>
      <c r="B244" s="93" t="s">
        <v>856</v>
      </c>
      <c r="C244" s="76" t="s">
        <v>857</v>
      </c>
      <c r="D244" s="76">
        <v>2022</v>
      </c>
      <c r="E244" s="75" t="s">
        <v>858</v>
      </c>
      <c r="F244" s="75" t="s">
        <v>209</v>
      </c>
      <c r="G244" s="76">
        <v>3.1</v>
      </c>
      <c r="H244" s="76">
        <v>0</v>
      </c>
      <c r="I244" s="75" t="s">
        <v>198</v>
      </c>
      <c r="J244" s="75" t="s">
        <v>44</v>
      </c>
      <c r="K244" s="75">
        <v>2025</v>
      </c>
      <c r="L244" s="75"/>
    </row>
    <row r="245" spans="1:12" ht="270" customHeight="1">
      <c r="A245" s="74" t="s">
        <v>196</v>
      </c>
      <c r="B245" s="74" t="s">
        <v>851</v>
      </c>
      <c r="C245" s="76" t="s">
        <v>852</v>
      </c>
      <c r="D245" s="76">
        <v>2022</v>
      </c>
      <c r="E245" s="75" t="s">
        <v>853</v>
      </c>
      <c r="F245" s="75" t="s">
        <v>211</v>
      </c>
      <c r="G245" s="76">
        <v>3.1</v>
      </c>
      <c r="H245" s="76">
        <v>0</v>
      </c>
      <c r="I245" s="75" t="s">
        <v>198</v>
      </c>
      <c r="J245" s="75" t="s">
        <v>44</v>
      </c>
      <c r="K245" s="75">
        <v>2025</v>
      </c>
      <c r="L245" s="75"/>
    </row>
    <row r="246" spans="1:12" ht="270" customHeight="1">
      <c r="A246" s="74" t="s">
        <v>24</v>
      </c>
      <c r="B246" s="83" t="s">
        <v>924</v>
      </c>
      <c r="C246" s="76" t="s">
        <v>923</v>
      </c>
      <c r="D246" s="76">
        <v>2022</v>
      </c>
      <c r="E246" s="75" t="s">
        <v>1234</v>
      </c>
      <c r="F246" s="75" t="s">
        <v>122</v>
      </c>
      <c r="G246" s="76">
        <v>5</v>
      </c>
      <c r="H246" s="76">
        <v>0</v>
      </c>
      <c r="I246" s="75"/>
      <c r="J246" s="75"/>
      <c r="K246" s="75"/>
      <c r="L246" s="75"/>
    </row>
    <row r="247" spans="1:12" ht="270" customHeight="1">
      <c r="A247" s="74" t="s">
        <v>372</v>
      </c>
      <c r="B247" s="83" t="s">
        <v>986</v>
      </c>
      <c r="C247" s="76" t="s">
        <v>985</v>
      </c>
      <c r="D247" s="76">
        <v>2022</v>
      </c>
      <c r="E247" s="75" t="s">
        <v>1233</v>
      </c>
      <c r="F247" s="75" t="s">
        <v>152</v>
      </c>
      <c r="G247" s="76">
        <v>3.1</v>
      </c>
      <c r="H247" s="76">
        <v>0</v>
      </c>
      <c r="I247" s="75" t="s">
        <v>51</v>
      </c>
      <c r="J247" s="75" t="s">
        <v>44</v>
      </c>
      <c r="K247" s="75">
        <v>2025</v>
      </c>
      <c r="L247" s="75"/>
    </row>
    <row r="248" spans="1:12" ht="270" customHeight="1">
      <c r="A248" s="74" t="s">
        <v>372</v>
      </c>
      <c r="B248" s="74" t="s">
        <v>988</v>
      </c>
      <c r="C248" s="76" t="s">
        <v>989</v>
      </c>
      <c r="D248" s="76">
        <v>2022</v>
      </c>
      <c r="E248" s="75" t="s">
        <v>1232</v>
      </c>
      <c r="F248" s="75" t="s">
        <v>153</v>
      </c>
      <c r="G248" s="76">
        <v>3.1</v>
      </c>
      <c r="H248" s="76">
        <v>0</v>
      </c>
      <c r="I248" s="75" t="s">
        <v>51</v>
      </c>
      <c r="J248" s="75" t="s">
        <v>44</v>
      </c>
      <c r="K248" s="75">
        <v>2025</v>
      </c>
      <c r="L248" s="75"/>
    </row>
    <row r="249" spans="1:12" ht="270" customHeight="1">
      <c r="A249" s="74" t="s">
        <v>495</v>
      </c>
      <c r="B249" s="98" t="s">
        <v>1231</v>
      </c>
      <c r="C249" s="76" t="s">
        <v>492</v>
      </c>
      <c r="D249" s="76">
        <v>2022</v>
      </c>
      <c r="E249" s="75" t="s">
        <v>493</v>
      </c>
      <c r="F249" s="84" t="s">
        <v>494</v>
      </c>
      <c r="G249" s="76">
        <v>5</v>
      </c>
      <c r="H249" s="76">
        <v>0</v>
      </c>
      <c r="I249" s="75"/>
      <c r="J249" s="75"/>
      <c r="K249" s="75"/>
      <c r="L249" s="75"/>
    </row>
    <row r="250" spans="1:12" ht="270" customHeight="1">
      <c r="A250" s="74" t="s">
        <v>495</v>
      </c>
      <c r="B250" s="74" t="s">
        <v>508</v>
      </c>
      <c r="C250" s="75" t="s">
        <v>509</v>
      </c>
      <c r="D250" s="76">
        <v>2022</v>
      </c>
      <c r="E250" s="107" t="s">
        <v>507</v>
      </c>
      <c r="F250" s="75" t="s">
        <v>1347</v>
      </c>
      <c r="G250" s="76">
        <v>5</v>
      </c>
      <c r="H250" s="76">
        <v>0</v>
      </c>
      <c r="I250" s="75"/>
      <c r="J250" s="75"/>
      <c r="K250" s="75"/>
      <c r="L250" s="75"/>
    </row>
    <row r="251" spans="1:12" ht="270" customHeight="1">
      <c r="A251" s="86" t="s">
        <v>767</v>
      </c>
      <c r="B251" s="83" t="s">
        <v>769</v>
      </c>
      <c r="C251" s="75" t="s">
        <v>768</v>
      </c>
      <c r="D251" s="76">
        <v>2022</v>
      </c>
      <c r="E251" s="75" t="s">
        <v>1229</v>
      </c>
      <c r="F251" s="75" t="s">
        <v>1230</v>
      </c>
      <c r="G251" s="76">
        <v>0</v>
      </c>
      <c r="H251" s="76">
        <v>0</v>
      </c>
      <c r="I251" s="75" t="s">
        <v>48</v>
      </c>
      <c r="J251" s="75" t="s">
        <v>44</v>
      </c>
      <c r="K251" s="75">
        <v>2025</v>
      </c>
      <c r="L251" s="75"/>
    </row>
    <row r="252" spans="1:12" ht="270" customHeight="1">
      <c r="A252" s="74" t="s">
        <v>113</v>
      </c>
      <c r="B252" s="83" t="s">
        <v>913</v>
      </c>
      <c r="C252" s="76" t="s">
        <v>914</v>
      </c>
      <c r="D252" s="76">
        <v>2022</v>
      </c>
      <c r="E252" s="75" t="s">
        <v>1228</v>
      </c>
      <c r="F252" s="75" t="s">
        <v>1227</v>
      </c>
      <c r="G252" s="76">
        <v>0</v>
      </c>
      <c r="H252" s="76">
        <v>0</v>
      </c>
      <c r="I252" s="75" t="s">
        <v>51</v>
      </c>
      <c r="J252" s="75" t="s">
        <v>44</v>
      </c>
      <c r="K252" s="75">
        <v>2025</v>
      </c>
      <c r="L252" s="75"/>
    </row>
    <row r="253" spans="1:12" ht="270" customHeight="1">
      <c r="A253" s="74" t="s">
        <v>196</v>
      </c>
      <c r="B253" s="74" t="s">
        <v>848</v>
      </c>
      <c r="C253" s="76" t="s">
        <v>849</v>
      </c>
      <c r="D253" s="76">
        <v>2022</v>
      </c>
      <c r="E253" s="75" t="s">
        <v>850</v>
      </c>
      <c r="F253" s="75" t="s">
        <v>212</v>
      </c>
      <c r="G253" s="76">
        <v>3.1</v>
      </c>
      <c r="H253" s="76">
        <v>0</v>
      </c>
      <c r="I253" s="75" t="s">
        <v>198</v>
      </c>
      <c r="J253" s="75" t="s">
        <v>44</v>
      </c>
      <c r="K253" s="75">
        <v>2025</v>
      </c>
      <c r="L253" s="75"/>
    </row>
    <row r="254" spans="1:12" ht="270" customHeight="1">
      <c r="A254" s="74" t="s">
        <v>967</v>
      </c>
      <c r="B254" s="116" t="s">
        <v>1226</v>
      </c>
      <c r="C254" s="76" t="s">
        <v>997</v>
      </c>
      <c r="D254" s="76">
        <v>2022</v>
      </c>
      <c r="E254" s="75" t="s">
        <v>1127</v>
      </c>
      <c r="F254" s="75" t="s">
        <v>157</v>
      </c>
      <c r="G254" s="76">
        <v>3.1</v>
      </c>
      <c r="H254" s="76">
        <v>0</v>
      </c>
      <c r="I254" s="75" t="s">
        <v>51</v>
      </c>
      <c r="J254" s="75" t="s">
        <v>44</v>
      </c>
      <c r="K254" s="75">
        <v>2025</v>
      </c>
      <c r="L254" s="75"/>
    </row>
    <row r="255" spans="1:12" ht="270" customHeight="1">
      <c r="A255" s="74" t="s">
        <v>433</v>
      </c>
      <c r="B255" s="74" t="s">
        <v>490</v>
      </c>
      <c r="C255" s="76" t="s">
        <v>491</v>
      </c>
      <c r="D255" s="76">
        <v>2022</v>
      </c>
      <c r="E255" s="75" t="s">
        <v>652</v>
      </c>
      <c r="F255" s="88" t="s">
        <v>653</v>
      </c>
      <c r="G255" s="76">
        <v>5</v>
      </c>
      <c r="H255" s="76">
        <v>0</v>
      </c>
      <c r="I255" s="75"/>
      <c r="J255" s="75"/>
      <c r="K255" s="75"/>
      <c r="L255" s="75"/>
    </row>
    <row r="256" spans="1:12" ht="270" customHeight="1">
      <c r="A256" s="74" t="s">
        <v>433</v>
      </c>
      <c r="B256" s="74" t="s">
        <v>511</v>
      </c>
      <c r="C256" s="76" t="s">
        <v>510</v>
      </c>
      <c r="D256" s="76">
        <v>2022</v>
      </c>
      <c r="E256" s="75" t="s">
        <v>529</v>
      </c>
      <c r="F256" s="75" t="s">
        <v>512</v>
      </c>
      <c r="G256" s="76">
        <v>5</v>
      </c>
      <c r="H256" s="76">
        <v>0</v>
      </c>
      <c r="I256" s="75"/>
      <c r="J256" s="75"/>
      <c r="K256" s="75"/>
      <c r="L256" s="75"/>
    </row>
    <row r="257" spans="1:12" ht="270" customHeight="1">
      <c r="A257" s="74" t="s">
        <v>372</v>
      </c>
      <c r="B257" s="74" t="s">
        <v>984</v>
      </c>
      <c r="C257" s="76" t="s">
        <v>983</v>
      </c>
      <c r="D257" s="76">
        <v>2022</v>
      </c>
      <c r="E257" s="75" t="s">
        <v>1224</v>
      </c>
      <c r="F257" s="75" t="s">
        <v>1225</v>
      </c>
      <c r="G257" s="76">
        <v>3.1</v>
      </c>
      <c r="H257" s="76">
        <v>0</v>
      </c>
      <c r="I257" s="75" t="s">
        <v>51</v>
      </c>
      <c r="J257" s="75" t="s">
        <v>44</v>
      </c>
      <c r="K257" s="75">
        <v>2025</v>
      </c>
      <c r="L257" s="75"/>
    </row>
    <row r="258" spans="1:12" ht="270" customHeight="1">
      <c r="A258" s="74" t="s">
        <v>372</v>
      </c>
      <c r="B258" s="74" t="s">
        <v>992</v>
      </c>
      <c r="C258" s="76" t="s">
        <v>993</v>
      </c>
      <c r="D258" s="76">
        <v>2022</v>
      </c>
      <c r="E258" s="75" t="s">
        <v>928</v>
      </c>
      <c r="F258" s="75" t="s">
        <v>155</v>
      </c>
      <c r="G258" s="76">
        <v>3.1</v>
      </c>
      <c r="H258" s="76">
        <v>0</v>
      </c>
      <c r="I258" s="75" t="s">
        <v>51</v>
      </c>
      <c r="J258" s="75" t="s">
        <v>44</v>
      </c>
      <c r="K258" s="75">
        <v>2025</v>
      </c>
      <c r="L258" s="75"/>
    </row>
    <row r="259" spans="1:12" ht="270" customHeight="1">
      <c r="A259" s="74" t="s">
        <v>433</v>
      </c>
      <c r="B259" s="74" t="s">
        <v>514</v>
      </c>
      <c r="C259" s="76" t="s">
        <v>513</v>
      </c>
      <c r="D259" s="76">
        <v>2023</v>
      </c>
      <c r="E259" s="75" t="s">
        <v>515</v>
      </c>
      <c r="F259" s="75" t="s">
        <v>1348</v>
      </c>
      <c r="G259" s="76">
        <v>5</v>
      </c>
      <c r="H259" s="76">
        <v>0</v>
      </c>
      <c r="I259" s="75"/>
      <c r="J259" s="75"/>
      <c r="K259" s="75"/>
      <c r="L259" s="75"/>
    </row>
    <row r="260" spans="1:12" ht="270" customHeight="1">
      <c r="A260" s="74" t="s">
        <v>433</v>
      </c>
      <c r="B260" s="97" t="s">
        <v>518</v>
      </c>
      <c r="C260" s="76" t="s">
        <v>516</v>
      </c>
      <c r="D260" s="76">
        <v>2023</v>
      </c>
      <c r="E260" s="75" t="s">
        <v>517</v>
      </c>
      <c r="F260" s="75" t="s">
        <v>519</v>
      </c>
      <c r="G260" s="76">
        <v>5</v>
      </c>
      <c r="H260" s="76">
        <v>0</v>
      </c>
      <c r="I260" s="75"/>
      <c r="J260" s="75"/>
      <c r="K260" s="75"/>
      <c r="L260" s="75"/>
    </row>
    <row r="261" spans="1:12" ht="270" customHeight="1">
      <c r="A261" s="74" t="s">
        <v>196</v>
      </c>
      <c r="B261" s="96" t="s">
        <v>845</v>
      </c>
      <c r="C261" s="76" t="s">
        <v>846</v>
      </c>
      <c r="D261" s="76">
        <v>2023</v>
      </c>
      <c r="E261" s="75" t="s">
        <v>524</v>
      </c>
      <c r="F261" s="75" t="s">
        <v>214</v>
      </c>
      <c r="G261" s="76">
        <v>3.1</v>
      </c>
      <c r="H261" s="76">
        <v>0</v>
      </c>
      <c r="I261" s="75" t="s">
        <v>198</v>
      </c>
      <c r="J261" s="75" t="s">
        <v>44</v>
      </c>
      <c r="K261" s="75">
        <v>2025</v>
      </c>
      <c r="L261" s="75"/>
    </row>
    <row r="262" spans="1:12" ht="270" customHeight="1">
      <c r="A262" s="74" t="s">
        <v>977</v>
      </c>
      <c r="B262" s="74" t="s">
        <v>999</v>
      </c>
      <c r="C262" s="76" t="s">
        <v>998</v>
      </c>
      <c r="D262" s="76">
        <v>2023</v>
      </c>
      <c r="E262" s="75" t="s">
        <v>987</v>
      </c>
      <c r="F262" s="75" t="s">
        <v>158</v>
      </c>
      <c r="G262" s="76">
        <v>3.1</v>
      </c>
      <c r="H262" s="76">
        <v>0</v>
      </c>
      <c r="I262" s="75" t="s">
        <v>51</v>
      </c>
      <c r="J262" s="75" t="s">
        <v>44</v>
      </c>
      <c r="K262" s="75">
        <v>2025</v>
      </c>
      <c r="L262" s="75"/>
    </row>
    <row r="263" spans="1:12" ht="270" customHeight="1">
      <c r="A263" s="74" t="s">
        <v>558</v>
      </c>
      <c r="B263" s="101" t="s">
        <v>576</v>
      </c>
      <c r="C263" s="76" t="s">
        <v>575</v>
      </c>
      <c r="D263" s="76">
        <v>2023</v>
      </c>
      <c r="E263" s="75" t="s">
        <v>577</v>
      </c>
      <c r="F263" s="75" t="s">
        <v>578</v>
      </c>
      <c r="G263" s="76">
        <v>5</v>
      </c>
      <c r="H263" s="76">
        <v>0</v>
      </c>
      <c r="I263" s="75"/>
      <c r="J263" s="75"/>
      <c r="K263" s="75"/>
      <c r="L263" s="75"/>
    </row>
    <row r="264" spans="1:12" ht="270" customHeight="1">
      <c r="A264" s="87" t="s">
        <v>1208</v>
      </c>
      <c r="B264" s="96" t="s">
        <v>1207</v>
      </c>
      <c r="C264" s="76" t="s">
        <v>657</v>
      </c>
      <c r="D264" s="76">
        <v>2023</v>
      </c>
      <c r="E264" s="75" t="s">
        <v>658</v>
      </c>
      <c r="F264" s="75" t="s">
        <v>57</v>
      </c>
      <c r="G264" s="76">
        <v>5</v>
      </c>
      <c r="H264" s="76">
        <v>0</v>
      </c>
      <c r="I264" s="75"/>
      <c r="J264" s="75"/>
      <c r="K264" s="75"/>
      <c r="L264" s="75"/>
    </row>
    <row r="265" spans="1:12" ht="270" customHeight="1">
      <c r="A265" s="74" t="s">
        <v>967</v>
      </c>
      <c r="B265" s="120" t="s">
        <v>1205</v>
      </c>
      <c r="C265" s="76" t="s">
        <v>994</v>
      </c>
      <c r="D265" s="76">
        <v>2023</v>
      </c>
      <c r="E265" s="75" t="s">
        <v>1206</v>
      </c>
      <c r="F265" s="75" t="s">
        <v>156</v>
      </c>
      <c r="G265" s="76">
        <v>3.1</v>
      </c>
      <c r="H265" s="76">
        <v>0</v>
      </c>
      <c r="I265" s="75" t="s">
        <v>51</v>
      </c>
      <c r="J265" s="75" t="s">
        <v>44</v>
      </c>
      <c r="K265" s="75">
        <v>2025</v>
      </c>
      <c r="L265" s="75"/>
    </row>
    <row r="266" spans="1:12" ht="270" customHeight="1">
      <c r="A266" s="87" t="s">
        <v>185</v>
      </c>
      <c r="B266" s="83" t="s">
        <v>808</v>
      </c>
      <c r="C266" s="76" t="s">
        <v>809</v>
      </c>
      <c r="D266" s="76">
        <v>2023</v>
      </c>
      <c r="E266" s="75" t="s">
        <v>1202</v>
      </c>
      <c r="F266" s="75" t="s">
        <v>1203</v>
      </c>
      <c r="G266" s="76"/>
      <c r="H266" s="76">
        <v>0</v>
      </c>
      <c r="I266" s="75"/>
      <c r="J266" s="75"/>
      <c r="K266" s="75"/>
      <c r="L266" s="75"/>
    </row>
    <row r="267" spans="1:12" ht="270" customHeight="1">
      <c r="A267" s="74" t="s">
        <v>679</v>
      </c>
      <c r="B267" s="103" t="s">
        <v>704</v>
      </c>
      <c r="C267" s="76" t="s">
        <v>702</v>
      </c>
      <c r="D267" s="76">
        <v>2023</v>
      </c>
      <c r="E267" s="75" t="s">
        <v>703</v>
      </c>
      <c r="F267" s="89" t="s">
        <v>1201</v>
      </c>
      <c r="G267" s="76">
        <v>3.3</v>
      </c>
      <c r="H267" s="76">
        <v>0</v>
      </c>
      <c r="I267" s="75" t="s">
        <v>51</v>
      </c>
      <c r="J267" s="75" t="s">
        <v>44</v>
      </c>
      <c r="K267" s="75">
        <v>2025</v>
      </c>
      <c r="L267" s="75"/>
    </row>
    <row r="268" spans="1:12" ht="270" customHeight="1">
      <c r="A268" s="74" t="s">
        <v>372</v>
      </c>
      <c r="B268" s="83" t="s">
        <v>1200</v>
      </c>
      <c r="C268" s="75" t="s">
        <v>1000</v>
      </c>
      <c r="D268" s="76">
        <v>2023</v>
      </c>
      <c r="E268" s="75" t="s">
        <v>1199</v>
      </c>
      <c r="F268" s="75" t="s">
        <v>159</v>
      </c>
      <c r="G268" s="76">
        <v>3.1</v>
      </c>
      <c r="H268" s="76">
        <v>0</v>
      </c>
      <c r="I268" s="75" t="s">
        <v>51</v>
      </c>
      <c r="J268" s="75" t="s">
        <v>44</v>
      </c>
      <c r="K268" s="75">
        <v>2025</v>
      </c>
      <c r="L268" s="75"/>
    </row>
    <row r="269" spans="1:12" ht="270" customHeight="1">
      <c r="A269" s="86" t="s">
        <v>679</v>
      </c>
      <c r="B269" s="83" t="s">
        <v>696</v>
      </c>
      <c r="C269" s="76" t="s">
        <v>697</v>
      </c>
      <c r="D269" s="76">
        <v>2023</v>
      </c>
      <c r="E269" s="75" t="s">
        <v>698</v>
      </c>
      <c r="F269" s="75" t="s">
        <v>72</v>
      </c>
      <c r="G269" s="76">
        <v>3.3</v>
      </c>
      <c r="H269" s="76">
        <v>0</v>
      </c>
      <c r="I269" s="75" t="s">
        <v>51</v>
      </c>
      <c r="J269" s="75" t="s">
        <v>44</v>
      </c>
      <c r="K269" s="75">
        <v>2025</v>
      </c>
      <c r="L269" s="75"/>
    </row>
    <row r="270" spans="1:12" ht="270" customHeight="1">
      <c r="A270" s="74" t="s">
        <v>113</v>
      </c>
      <c r="B270" s="83" t="s">
        <v>1198</v>
      </c>
      <c r="C270" s="76" t="s">
        <v>915</v>
      </c>
      <c r="D270" s="76">
        <v>2023</v>
      </c>
      <c r="E270" s="75" t="s">
        <v>452</v>
      </c>
      <c r="F270" s="75" t="s">
        <v>116</v>
      </c>
      <c r="G270" s="76">
        <v>0</v>
      </c>
      <c r="H270" s="76">
        <v>0</v>
      </c>
      <c r="I270" s="75" t="s">
        <v>51</v>
      </c>
      <c r="J270" s="75" t="s">
        <v>44</v>
      </c>
      <c r="K270" s="75">
        <v>2025</v>
      </c>
      <c r="L270" s="75"/>
    </row>
    <row r="271" spans="1:12" ht="270" customHeight="1">
      <c r="A271" s="86" t="s">
        <v>28</v>
      </c>
      <c r="B271" s="83" t="s">
        <v>1196</v>
      </c>
      <c r="C271" s="76" t="s">
        <v>1195</v>
      </c>
      <c r="D271" s="76">
        <v>2023</v>
      </c>
      <c r="E271" s="75" t="s">
        <v>1197</v>
      </c>
      <c r="F271" s="75" t="s">
        <v>230</v>
      </c>
      <c r="G271" s="76">
        <v>0</v>
      </c>
      <c r="H271" s="76">
        <v>0</v>
      </c>
      <c r="I271" s="75" t="s">
        <v>48</v>
      </c>
      <c r="J271" s="75" t="s">
        <v>44</v>
      </c>
      <c r="K271" s="75">
        <v>2025</v>
      </c>
      <c r="L271" s="75"/>
    </row>
    <row r="272" spans="1:12" ht="270" customHeight="1">
      <c r="A272" s="74" t="s">
        <v>558</v>
      </c>
      <c r="B272" s="74" t="s">
        <v>573</v>
      </c>
      <c r="C272" s="76" t="s">
        <v>572</v>
      </c>
      <c r="D272" s="76">
        <v>2023</v>
      </c>
      <c r="E272" s="75" t="s">
        <v>574</v>
      </c>
      <c r="F272" s="75" t="s">
        <v>1349</v>
      </c>
      <c r="G272" s="76">
        <v>5</v>
      </c>
      <c r="H272" s="76">
        <v>0</v>
      </c>
      <c r="I272" s="75"/>
      <c r="J272" s="75"/>
      <c r="K272" s="75"/>
      <c r="L272" s="75"/>
    </row>
    <row r="273" spans="1:12" ht="270" customHeight="1">
      <c r="A273" s="74" t="s">
        <v>967</v>
      </c>
      <c r="B273" s="74" t="s">
        <v>996</v>
      </c>
      <c r="C273" s="76" t="s">
        <v>995</v>
      </c>
      <c r="D273" s="76">
        <v>2023</v>
      </c>
      <c r="E273" s="75" t="s">
        <v>452</v>
      </c>
      <c r="F273" s="75" t="s">
        <v>1194</v>
      </c>
      <c r="G273" s="76">
        <v>3.1</v>
      </c>
      <c r="H273" s="76">
        <v>0</v>
      </c>
      <c r="I273" s="75" t="s">
        <v>51</v>
      </c>
      <c r="J273" s="75" t="s">
        <v>44</v>
      </c>
      <c r="K273" s="75">
        <v>2025</v>
      </c>
      <c r="L273" s="75"/>
    </row>
    <row r="274" spans="1:12" ht="270" customHeight="1">
      <c r="A274" s="87" t="s">
        <v>679</v>
      </c>
      <c r="B274" s="96" t="s">
        <v>695</v>
      </c>
      <c r="C274" s="76" t="s">
        <v>694</v>
      </c>
      <c r="D274" s="76">
        <v>2023</v>
      </c>
      <c r="E274" s="75" t="s">
        <v>590</v>
      </c>
      <c r="F274" s="75" t="s">
        <v>71</v>
      </c>
      <c r="G274" s="76">
        <v>3.3</v>
      </c>
      <c r="H274" s="76">
        <v>0</v>
      </c>
      <c r="I274" s="75" t="s">
        <v>51</v>
      </c>
      <c r="J274" s="75" t="s">
        <v>44</v>
      </c>
      <c r="K274" s="75">
        <v>2025</v>
      </c>
      <c r="L274" s="75"/>
    </row>
    <row r="275" spans="1:12" ht="270" customHeight="1">
      <c r="A275" s="74" t="s">
        <v>433</v>
      </c>
      <c r="B275" s="74" t="s">
        <v>520</v>
      </c>
      <c r="C275" s="76" t="s">
        <v>521</v>
      </c>
      <c r="D275" s="76">
        <v>2024</v>
      </c>
      <c r="E275" s="75" t="s">
        <v>425</v>
      </c>
      <c r="F275" s="75" t="s">
        <v>426</v>
      </c>
      <c r="G275" s="76">
        <v>5</v>
      </c>
      <c r="H275" s="76">
        <v>0</v>
      </c>
      <c r="I275" s="75"/>
      <c r="J275" s="75"/>
      <c r="K275" s="75"/>
      <c r="L275" s="75"/>
    </row>
    <row r="276" spans="1:12" ht="270" customHeight="1">
      <c r="A276" s="74" t="s">
        <v>433</v>
      </c>
      <c r="B276" s="74" t="s">
        <v>522</v>
      </c>
      <c r="C276" s="76" t="s">
        <v>523</v>
      </c>
      <c r="D276" s="76">
        <v>2024</v>
      </c>
      <c r="E276" s="75" t="s">
        <v>524</v>
      </c>
      <c r="F276" s="75" t="s">
        <v>427</v>
      </c>
      <c r="G276" s="76">
        <v>5</v>
      </c>
      <c r="H276" s="76">
        <v>0</v>
      </c>
      <c r="I276" s="75"/>
      <c r="J276" s="75"/>
      <c r="K276" s="75"/>
      <c r="L276" s="75"/>
    </row>
    <row r="277" spans="1:12" ht="270" customHeight="1">
      <c r="A277" s="74" t="s">
        <v>196</v>
      </c>
      <c r="B277" s="74" t="s">
        <v>841</v>
      </c>
      <c r="C277" s="76" t="s">
        <v>842</v>
      </c>
      <c r="D277" s="76">
        <v>2024</v>
      </c>
      <c r="E277" s="75" t="s">
        <v>524</v>
      </c>
      <c r="F277" s="75" t="s">
        <v>216</v>
      </c>
      <c r="G277" s="76">
        <v>3.1</v>
      </c>
      <c r="H277" s="76">
        <v>0</v>
      </c>
      <c r="I277" s="75" t="s">
        <v>198</v>
      </c>
      <c r="J277" s="75" t="s">
        <v>44</v>
      </c>
      <c r="K277" s="75">
        <v>2025</v>
      </c>
      <c r="L277" s="75"/>
    </row>
    <row r="278" spans="1:12" ht="270" customHeight="1">
      <c r="A278" s="74" t="s">
        <v>1222</v>
      </c>
      <c r="B278" s="96" t="s">
        <v>1221</v>
      </c>
      <c r="C278" s="76" t="s">
        <v>737</v>
      </c>
      <c r="D278" s="76">
        <v>2024</v>
      </c>
      <c r="E278" s="75" t="s">
        <v>524</v>
      </c>
      <c r="F278" s="75" t="s">
        <v>101</v>
      </c>
      <c r="G278" s="76">
        <v>3.1</v>
      </c>
      <c r="H278" s="76">
        <v>0</v>
      </c>
      <c r="I278" s="75" t="s">
        <v>51</v>
      </c>
      <c r="J278" s="75" t="s">
        <v>44</v>
      </c>
      <c r="K278" s="75">
        <v>2025</v>
      </c>
      <c r="L278" s="75"/>
    </row>
    <row r="279" spans="1:12" ht="270" customHeight="1">
      <c r="A279" s="74" t="s">
        <v>196</v>
      </c>
      <c r="B279" s="101" t="s">
        <v>839</v>
      </c>
      <c r="C279" s="76" t="s">
        <v>838</v>
      </c>
      <c r="D279" s="76">
        <v>2024</v>
      </c>
      <c r="E279" s="75" t="s">
        <v>840</v>
      </c>
      <c r="F279" s="75" t="s">
        <v>217</v>
      </c>
      <c r="G279" s="76">
        <v>3.1</v>
      </c>
      <c r="H279" s="76">
        <v>0</v>
      </c>
      <c r="I279" s="75" t="s">
        <v>198</v>
      </c>
      <c r="J279" s="75" t="s">
        <v>44</v>
      </c>
      <c r="K279" s="75">
        <v>2025</v>
      </c>
      <c r="L279" s="75"/>
    </row>
    <row r="280" spans="1:12" ht="270" customHeight="1">
      <c r="A280" s="74" t="s">
        <v>433</v>
      </c>
      <c r="B280" s="105" t="s">
        <v>530</v>
      </c>
      <c r="C280" s="76" t="s">
        <v>528</v>
      </c>
      <c r="D280" s="76">
        <v>2024</v>
      </c>
      <c r="E280" s="108" t="s">
        <v>531</v>
      </c>
      <c r="F280" s="75" t="s">
        <v>532</v>
      </c>
      <c r="G280" s="76">
        <v>5</v>
      </c>
      <c r="H280" s="76">
        <v>0</v>
      </c>
      <c r="I280" s="75"/>
      <c r="J280" s="75"/>
      <c r="K280" s="75"/>
      <c r="L280" s="75"/>
    </row>
    <row r="281" spans="1:12" ht="270" customHeight="1">
      <c r="A281" s="74" t="s">
        <v>837</v>
      </c>
      <c r="B281" s="74" t="s">
        <v>834</v>
      </c>
      <c r="C281" s="76" t="s">
        <v>835</v>
      </c>
      <c r="D281" s="76">
        <v>2024</v>
      </c>
      <c r="E281" s="75" t="s">
        <v>836</v>
      </c>
      <c r="F281" s="75" t="s">
        <v>218</v>
      </c>
      <c r="G281" s="76">
        <v>3.1</v>
      </c>
      <c r="H281" s="76">
        <v>0</v>
      </c>
      <c r="I281" s="75" t="s">
        <v>198</v>
      </c>
      <c r="J281" s="75" t="s">
        <v>44</v>
      </c>
      <c r="K281" s="75">
        <v>2025</v>
      </c>
      <c r="L281" s="75"/>
    </row>
    <row r="282" spans="1:12" ht="270" customHeight="1">
      <c r="A282" s="74" t="s">
        <v>619</v>
      </c>
      <c r="B282" s="74" t="s">
        <v>615</v>
      </c>
      <c r="C282" s="76" t="s">
        <v>616</v>
      </c>
      <c r="D282" s="76">
        <v>2024</v>
      </c>
      <c r="E282" s="75" t="s">
        <v>617</v>
      </c>
      <c r="F282" s="75" t="s">
        <v>618</v>
      </c>
      <c r="G282" s="76">
        <v>4.2</v>
      </c>
      <c r="H282" s="76">
        <v>0</v>
      </c>
      <c r="I282" s="75" t="s">
        <v>51</v>
      </c>
      <c r="J282" s="75" t="s">
        <v>44</v>
      </c>
      <c r="K282" s="75">
        <v>2025</v>
      </c>
      <c r="L282" s="75"/>
    </row>
    <row r="283" spans="1:12" ht="270" customHeight="1">
      <c r="A283" s="74" t="s">
        <v>196</v>
      </c>
      <c r="B283" s="101" t="s">
        <v>843</v>
      </c>
      <c r="C283" s="76" t="s">
        <v>844</v>
      </c>
      <c r="D283" s="76">
        <v>2024</v>
      </c>
      <c r="E283" s="75" t="s">
        <v>1193</v>
      </c>
      <c r="F283" s="75" t="s">
        <v>215</v>
      </c>
      <c r="G283" s="76">
        <v>3.1</v>
      </c>
      <c r="H283" s="76">
        <v>0</v>
      </c>
      <c r="I283" s="75" t="s">
        <v>198</v>
      </c>
      <c r="J283" s="75" t="s">
        <v>44</v>
      </c>
      <c r="K283" s="75">
        <v>2025</v>
      </c>
      <c r="L283" s="75"/>
    </row>
    <row r="284" spans="1:12" ht="270" customHeight="1">
      <c r="A284" s="87" t="s">
        <v>22</v>
      </c>
      <c r="B284" s="100" t="s">
        <v>706</v>
      </c>
      <c r="C284" s="76" t="s">
        <v>705</v>
      </c>
      <c r="D284" s="76">
        <v>2024</v>
      </c>
      <c r="E284" s="75" t="s">
        <v>707</v>
      </c>
      <c r="F284" s="89" t="s">
        <v>708</v>
      </c>
      <c r="G284" s="76">
        <v>3.3</v>
      </c>
      <c r="H284" s="76">
        <v>0</v>
      </c>
      <c r="I284" s="75" t="s">
        <v>51</v>
      </c>
      <c r="J284" s="75" t="s">
        <v>44</v>
      </c>
      <c r="K284" s="75">
        <v>2025</v>
      </c>
      <c r="L284" s="75"/>
    </row>
    <row r="285" spans="1:12" ht="270" customHeight="1">
      <c r="A285" s="86" t="s">
        <v>185</v>
      </c>
      <c r="B285" s="116" t="s">
        <v>891</v>
      </c>
      <c r="C285" s="76" t="s">
        <v>890</v>
      </c>
      <c r="D285" s="76">
        <v>2024</v>
      </c>
      <c r="E285" s="75" t="s">
        <v>892</v>
      </c>
      <c r="F285" s="75" t="s">
        <v>190</v>
      </c>
      <c r="G285" s="76"/>
      <c r="H285" s="76">
        <v>0</v>
      </c>
      <c r="I285" s="75"/>
      <c r="J285" s="75"/>
      <c r="K285" s="75"/>
      <c r="L285" s="75"/>
    </row>
    <row r="286" spans="1:12" ht="270" customHeight="1">
      <c r="A286" s="87" t="s">
        <v>22</v>
      </c>
      <c r="B286" s="98" t="s">
        <v>700</v>
      </c>
      <c r="C286" s="76" t="s">
        <v>699</v>
      </c>
      <c r="D286" s="76">
        <v>2024</v>
      </c>
      <c r="E286" s="75" t="s">
        <v>701</v>
      </c>
      <c r="F286" s="75" t="s">
        <v>73</v>
      </c>
      <c r="G286" s="76">
        <v>3.3</v>
      </c>
      <c r="H286" s="76">
        <v>0</v>
      </c>
      <c r="I286" s="75" t="s">
        <v>51</v>
      </c>
      <c r="J286" s="75" t="s">
        <v>44</v>
      </c>
      <c r="K286" s="75">
        <v>2025</v>
      </c>
      <c r="L286" s="75"/>
    </row>
    <row r="287" spans="1:12" ht="270" customHeight="1">
      <c r="A287" s="87" t="s">
        <v>176</v>
      </c>
      <c r="B287" s="116" t="s">
        <v>1215</v>
      </c>
      <c r="C287" s="76" t="s">
        <v>1170</v>
      </c>
      <c r="D287" s="76">
        <v>2024</v>
      </c>
      <c r="E287" s="75" t="s">
        <v>1216</v>
      </c>
      <c r="F287" s="75" t="s">
        <v>1217</v>
      </c>
      <c r="G287" s="76"/>
      <c r="H287" s="76">
        <v>0</v>
      </c>
      <c r="I287" s="75" t="s">
        <v>184</v>
      </c>
      <c r="J287" s="75" t="s">
        <v>44</v>
      </c>
      <c r="K287" s="75">
        <v>2025</v>
      </c>
      <c r="L287" s="75"/>
    </row>
    <row r="288" spans="1:12" ht="270" customHeight="1">
      <c r="A288" s="74" t="s">
        <v>930</v>
      </c>
      <c r="B288" s="83" t="s">
        <v>935</v>
      </c>
      <c r="C288" s="76" t="s">
        <v>1213</v>
      </c>
      <c r="D288" s="76">
        <v>2024</v>
      </c>
      <c r="E288" s="75" t="s">
        <v>1214</v>
      </c>
      <c r="F288" s="75" t="s">
        <v>129</v>
      </c>
      <c r="G288" s="76">
        <v>3.9</v>
      </c>
      <c r="H288" s="76">
        <v>0</v>
      </c>
      <c r="I288" s="75" t="s">
        <v>124</v>
      </c>
      <c r="J288" s="75" t="s">
        <v>44</v>
      </c>
      <c r="K288" s="75">
        <v>2025</v>
      </c>
      <c r="L288" s="75"/>
    </row>
    <row r="289" spans="1:12" ht="270" customHeight="1">
      <c r="A289" s="87" t="s">
        <v>761</v>
      </c>
      <c r="B289" s="121" t="s">
        <v>1211</v>
      </c>
      <c r="C289" s="76" t="s">
        <v>763</v>
      </c>
      <c r="D289" s="76">
        <v>2024</v>
      </c>
      <c r="E289" s="76" t="s">
        <v>1210</v>
      </c>
      <c r="F289" s="75" t="s">
        <v>1212</v>
      </c>
      <c r="G289" s="76">
        <v>0</v>
      </c>
      <c r="H289" s="76">
        <v>0</v>
      </c>
      <c r="I289" s="75" t="s">
        <v>48</v>
      </c>
      <c r="J289" s="75" t="s">
        <v>44</v>
      </c>
      <c r="K289" s="75">
        <v>2025</v>
      </c>
      <c r="L289" s="75"/>
    </row>
    <row r="290" spans="1:12" ht="270" customHeight="1">
      <c r="A290" s="74" t="s">
        <v>433</v>
      </c>
      <c r="B290" s="77" t="s">
        <v>526</v>
      </c>
      <c r="C290" s="76" t="s">
        <v>525</v>
      </c>
      <c r="D290" s="76">
        <v>2024</v>
      </c>
      <c r="E290" s="75" t="s">
        <v>1192</v>
      </c>
      <c r="F290" s="75" t="s">
        <v>527</v>
      </c>
      <c r="G290" s="76">
        <v>5</v>
      </c>
      <c r="H290" s="76">
        <v>0</v>
      </c>
      <c r="I290" s="75"/>
      <c r="J290" s="75"/>
      <c r="K290" s="75"/>
      <c r="L290" s="75"/>
    </row>
    <row r="291" spans="1:12" ht="270" customHeight="1">
      <c r="A291" s="91" t="s">
        <v>761</v>
      </c>
      <c r="B291" s="74" t="s">
        <v>760</v>
      </c>
      <c r="C291" s="76" t="s">
        <v>759</v>
      </c>
      <c r="D291" s="76">
        <v>2024</v>
      </c>
      <c r="E291" s="75" t="s">
        <v>762</v>
      </c>
      <c r="F291" s="75" t="s">
        <v>235</v>
      </c>
      <c r="G291" s="76">
        <v>0</v>
      </c>
      <c r="H291" s="76">
        <v>0</v>
      </c>
      <c r="I291" s="75" t="s">
        <v>48</v>
      </c>
      <c r="J291" s="75" t="s">
        <v>44</v>
      </c>
      <c r="K291" s="75">
        <v>2025</v>
      </c>
      <c r="L291" s="75"/>
    </row>
    <row r="292" spans="1:12" ht="270" customHeight="1">
      <c r="A292" s="74" t="s">
        <v>433</v>
      </c>
      <c r="B292" s="83" t="s">
        <v>534</v>
      </c>
      <c r="C292" s="76" t="s">
        <v>533</v>
      </c>
      <c r="D292" s="76">
        <v>2024</v>
      </c>
      <c r="E292" s="75" t="s">
        <v>535</v>
      </c>
      <c r="F292" s="75" t="s">
        <v>536</v>
      </c>
      <c r="G292" s="76">
        <v>5</v>
      </c>
      <c r="H292" s="76">
        <v>0</v>
      </c>
      <c r="I292" s="75"/>
      <c r="J292" s="75"/>
      <c r="K292" s="75"/>
      <c r="L292" s="75"/>
    </row>
    <row r="293" spans="1:12" ht="270" customHeight="1">
      <c r="A293" s="74" t="s">
        <v>113</v>
      </c>
      <c r="B293" s="96" t="s">
        <v>918</v>
      </c>
      <c r="C293" s="76" t="s">
        <v>1169</v>
      </c>
      <c r="D293" s="76">
        <v>2025</v>
      </c>
      <c r="E293" s="75" t="s">
        <v>524</v>
      </c>
      <c r="F293" s="75" t="s">
        <v>117</v>
      </c>
      <c r="G293" s="76">
        <v>0</v>
      </c>
      <c r="H293" s="76">
        <v>0</v>
      </c>
      <c r="I293" s="75" t="s">
        <v>51</v>
      </c>
      <c r="J293" s="75" t="s">
        <v>44</v>
      </c>
      <c r="K293" s="75">
        <v>2025</v>
      </c>
      <c r="L293" s="75"/>
    </row>
    <row r="294" spans="1:12" ht="270" customHeight="1">
      <c r="A294" s="74" t="s">
        <v>196</v>
      </c>
      <c r="B294" s="119" t="s">
        <v>825</v>
      </c>
      <c r="C294" s="76" t="s">
        <v>823</v>
      </c>
      <c r="D294" s="76">
        <v>2025</v>
      </c>
      <c r="E294" s="76" t="s">
        <v>524</v>
      </c>
      <c r="F294" s="75" t="s">
        <v>222</v>
      </c>
      <c r="G294" s="76">
        <v>0</v>
      </c>
      <c r="H294" s="76">
        <v>0</v>
      </c>
      <c r="I294" s="75"/>
      <c r="J294" s="75" t="s">
        <v>44</v>
      </c>
      <c r="K294" s="75">
        <v>2025</v>
      </c>
      <c r="L294" s="75"/>
    </row>
    <row r="295" spans="1:12" ht="270" customHeight="1">
      <c r="A295" s="86" t="s">
        <v>22</v>
      </c>
      <c r="B295" s="74" t="s">
        <v>672</v>
      </c>
      <c r="C295" s="76" t="s">
        <v>671</v>
      </c>
      <c r="D295" s="76">
        <v>2025</v>
      </c>
      <c r="E295" s="75" t="s">
        <v>524</v>
      </c>
      <c r="F295" s="75" t="s">
        <v>64</v>
      </c>
      <c r="G295" s="76">
        <v>4.0999999999999996</v>
      </c>
      <c r="H295" s="76">
        <v>0</v>
      </c>
      <c r="I295" s="75" t="s">
        <v>51</v>
      </c>
      <c r="J295" s="75" t="s">
        <v>44</v>
      </c>
      <c r="K295" s="75">
        <v>2025</v>
      </c>
      <c r="L295" s="75"/>
    </row>
    <row r="296" spans="1:12" ht="270" customHeight="1">
      <c r="A296" s="74" t="s">
        <v>196</v>
      </c>
      <c r="B296" s="104" t="s">
        <v>832</v>
      </c>
      <c r="C296" s="76" t="s">
        <v>831</v>
      </c>
      <c r="D296" s="76">
        <v>2025</v>
      </c>
      <c r="E296" s="75" t="s">
        <v>833</v>
      </c>
      <c r="F296" s="75" t="s">
        <v>219</v>
      </c>
      <c r="G296" s="76">
        <v>3.1</v>
      </c>
      <c r="H296" s="76">
        <v>0</v>
      </c>
      <c r="I296" s="75" t="s">
        <v>198</v>
      </c>
      <c r="J296" s="75" t="s">
        <v>44</v>
      </c>
      <c r="K296" s="75">
        <v>2025</v>
      </c>
      <c r="L296" s="75"/>
    </row>
    <row r="297" spans="1:12" ht="270" customHeight="1">
      <c r="A297" s="86" t="s">
        <v>107</v>
      </c>
      <c r="B297" s="74" t="s">
        <v>828</v>
      </c>
      <c r="C297" s="75" t="s">
        <v>829</v>
      </c>
      <c r="D297" s="76">
        <v>2025</v>
      </c>
      <c r="E297" s="75" t="s">
        <v>830</v>
      </c>
      <c r="F297" s="75" t="s">
        <v>220</v>
      </c>
      <c r="G297" s="76">
        <v>0</v>
      </c>
      <c r="H297" s="76">
        <v>0</v>
      </c>
      <c r="I297" s="75"/>
      <c r="J297" s="75" t="s">
        <v>44</v>
      </c>
      <c r="K297" s="75">
        <v>2025</v>
      </c>
      <c r="L297" s="75"/>
    </row>
    <row r="298" spans="1:12" ht="270" customHeight="1">
      <c r="A298" s="86" t="s">
        <v>107</v>
      </c>
      <c r="B298" s="74" t="s">
        <v>754</v>
      </c>
      <c r="C298" s="76" t="s">
        <v>753</v>
      </c>
      <c r="D298" s="76">
        <v>2025</v>
      </c>
      <c r="E298" s="75" t="s">
        <v>428</v>
      </c>
      <c r="F298" s="75" t="s">
        <v>429</v>
      </c>
      <c r="G298" s="76">
        <v>0</v>
      </c>
      <c r="H298" s="76">
        <v>0</v>
      </c>
      <c r="I298" s="75"/>
      <c r="J298" s="75"/>
      <c r="K298" s="75"/>
      <c r="L298" s="75"/>
    </row>
    <row r="299" spans="1:12" ht="270" customHeight="1">
      <c r="A299" s="74" t="s">
        <v>22</v>
      </c>
      <c r="B299" s="99" t="s">
        <v>1026</v>
      </c>
      <c r="C299" s="76" t="s">
        <v>1025</v>
      </c>
      <c r="D299" s="76">
        <v>2025</v>
      </c>
      <c r="E299" s="75"/>
      <c r="F299" s="75" t="s">
        <v>76</v>
      </c>
      <c r="G299" s="76">
        <v>3.3</v>
      </c>
      <c r="H299" s="76">
        <v>0</v>
      </c>
      <c r="I299" s="75" t="s">
        <v>51</v>
      </c>
      <c r="J299" s="75" t="s">
        <v>44</v>
      </c>
      <c r="K299" s="75">
        <v>2025</v>
      </c>
      <c r="L299" s="75"/>
    </row>
    <row r="300" spans="1:12" ht="270" customHeight="1">
      <c r="A300" s="74" t="s">
        <v>865</v>
      </c>
      <c r="B300" s="83" t="s">
        <v>867</v>
      </c>
      <c r="C300" s="76" t="s">
        <v>866</v>
      </c>
      <c r="D300" s="76">
        <v>2025</v>
      </c>
      <c r="E300" s="75" t="s">
        <v>868</v>
      </c>
      <c r="F300" s="75" t="s">
        <v>206</v>
      </c>
      <c r="G300" s="76">
        <v>3.1</v>
      </c>
      <c r="H300" s="76">
        <v>0</v>
      </c>
      <c r="I300" s="75" t="s">
        <v>198</v>
      </c>
      <c r="J300" s="75" t="s">
        <v>44</v>
      </c>
      <c r="K300" s="75">
        <v>2025</v>
      </c>
      <c r="L300" s="75"/>
    </row>
    <row r="301" spans="1:12" ht="270" customHeight="1">
      <c r="A301" s="86" t="s">
        <v>558</v>
      </c>
      <c r="B301" s="103" t="s">
        <v>826</v>
      </c>
      <c r="C301" s="76" t="s">
        <v>824</v>
      </c>
      <c r="D301" s="76">
        <v>2025</v>
      </c>
      <c r="E301" s="75" t="s">
        <v>827</v>
      </c>
      <c r="F301" s="75" t="s">
        <v>221</v>
      </c>
      <c r="G301" s="76">
        <v>0</v>
      </c>
      <c r="H301" s="76">
        <v>0</v>
      </c>
      <c r="I301" s="75"/>
      <c r="J301" s="75" t="s">
        <v>44</v>
      </c>
      <c r="K301" s="75">
        <v>2025</v>
      </c>
      <c r="L301" s="75"/>
    </row>
    <row r="302" spans="1:12" ht="270" customHeight="1">
      <c r="A302" s="74" t="s">
        <v>22</v>
      </c>
      <c r="B302" s="112" t="s">
        <v>1031</v>
      </c>
      <c r="C302" s="76" t="s">
        <v>1030</v>
      </c>
      <c r="D302" s="76">
        <v>2025</v>
      </c>
      <c r="E302" s="75" t="s">
        <v>928</v>
      </c>
      <c r="F302" s="75" t="s">
        <v>74</v>
      </c>
      <c r="G302" s="76">
        <v>3.3</v>
      </c>
      <c r="H302" s="76">
        <v>0</v>
      </c>
      <c r="I302" s="75" t="s">
        <v>51</v>
      </c>
      <c r="J302" s="75" t="s">
        <v>44</v>
      </c>
      <c r="K302" s="75">
        <v>2025</v>
      </c>
      <c r="L302" s="75"/>
    </row>
    <row r="303" spans="1:12" ht="270" customHeight="1">
      <c r="A303" s="74" t="s">
        <v>583</v>
      </c>
      <c r="B303" s="74" t="s">
        <v>584</v>
      </c>
      <c r="C303" s="92" t="s">
        <v>585</v>
      </c>
      <c r="D303" s="76">
        <v>2025</v>
      </c>
      <c r="E303" s="75" t="s">
        <v>586</v>
      </c>
      <c r="F303" s="75" t="s">
        <v>587</v>
      </c>
      <c r="G303" s="76">
        <v>0</v>
      </c>
      <c r="H303" s="76">
        <v>0</v>
      </c>
      <c r="I303" s="75" t="s">
        <v>48</v>
      </c>
      <c r="J303" s="75" t="s">
        <v>44</v>
      </c>
      <c r="K303" s="75">
        <v>2025</v>
      </c>
      <c r="L303" s="75"/>
    </row>
    <row r="304" spans="1:12" ht="270" customHeight="1">
      <c r="A304" s="87" t="s">
        <v>28</v>
      </c>
      <c r="B304" s="117" t="s">
        <v>1154</v>
      </c>
      <c r="C304" s="75" t="s">
        <v>1153</v>
      </c>
      <c r="D304" s="76">
        <v>2025</v>
      </c>
      <c r="E304" s="75" t="s">
        <v>1155</v>
      </c>
      <c r="F304" s="75" t="s">
        <v>1156</v>
      </c>
      <c r="G304" s="76">
        <v>0</v>
      </c>
      <c r="H304" s="76">
        <v>0</v>
      </c>
      <c r="I304" s="75" t="s">
        <v>48</v>
      </c>
      <c r="J304" s="75" t="s">
        <v>44</v>
      </c>
      <c r="K304" s="75">
        <v>2025</v>
      </c>
      <c r="L304" s="75"/>
    </row>
    <row r="305" spans="1:12" ht="270" customHeight="1">
      <c r="A305" s="74" t="s">
        <v>583</v>
      </c>
      <c r="B305" s="83" t="s">
        <v>580</v>
      </c>
      <c r="C305" s="76" t="s">
        <v>579</v>
      </c>
      <c r="D305" s="76">
        <v>2025</v>
      </c>
      <c r="E305" s="75" t="s">
        <v>582</v>
      </c>
      <c r="F305" s="75" t="s">
        <v>581</v>
      </c>
      <c r="G305" s="76">
        <v>0</v>
      </c>
      <c r="H305" s="76">
        <v>0</v>
      </c>
      <c r="I305" s="75" t="s">
        <v>48</v>
      </c>
      <c r="J305" s="75" t="s">
        <v>44</v>
      </c>
      <c r="K305" s="75">
        <v>2025</v>
      </c>
      <c r="L305" s="75"/>
    </row>
    <row r="306" spans="1:12" ht="270" customHeight="1">
      <c r="A306" s="74" t="s">
        <v>583</v>
      </c>
      <c r="B306" s="74" t="s">
        <v>588</v>
      </c>
      <c r="C306" s="75" t="s">
        <v>589</v>
      </c>
      <c r="D306" s="76">
        <v>2025</v>
      </c>
      <c r="E306" s="75" t="s">
        <v>590</v>
      </c>
      <c r="F306" s="75" t="s">
        <v>53</v>
      </c>
      <c r="G306" s="76">
        <v>4.2</v>
      </c>
      <c r="H306" s="76">
        <v>0</v>
      </c>
      <c r="I306" s="75" t="s">
        <v>51</v>
      </c>
      <c r="J306" s="75" t="s">
        <v>44</v>
      </c>
      <c r="K306" s="75">
        <v>2025</v>
      </c>
      <c r="L306" s="75"/>
    </row>
    <row r="307" spans="1:12" ht="270" customHeight="1">
      <c r="A307" s="74" t="s">
        <v>22</v>
      </c>
      <c r="B307" s="77" t="s">
        <v>591</v>
      </c>
      <c r="C307" s="76" t="s">
        <v>592</v>
      </c>
      <c r="D307" s="76">
        <v>2025</v>
      </c>
      <c r="E307" s="75" t="s">
        <v>593</v>
      </c>
      <c r="F307" s="75" t="s">
        <v>594</v>
      </c>
      <c r="G307" s="76">
        <v>4.2</v>
      </c>
      <c r="H307" s="76">
        <v>0</v>
      </c>
      <c r="I307" s="75" t="s">
        <v>51</v>
      </c>
      <c r="J307" s="75" t="s">
        <v>44</v>
      </c>
      <c r="K307" s="75">
        <v>2025</v>
      </c>
      <c r="L307" s="75"/>
    </row>
    <row r="308" spans="1:12" ht="270" customHeight="1">
      <c r="A308" s="86" t="s">
        <v>639</v>
      </c>
      <c r="B308" s="83" t="s">
        <v>757</v>
      </c>
      <c r="C308" s="76" t="s">
        <v>756</v>
      </c>
      <c r="D308" s="76">
        <v>2025</v>
      </c>
      <c r="E308" s="75" t="s">
        <v>758</v>
      </c>
      <c r="F308" s="75" t="s">
        <v>236</v>
      </c>
      <c r="G308" s="76">
        <v>0</v>
      </c>
      <c r="H308" s="76">
        <v>0</v>
      </c>
      <c r="I308" s="75" t="s">
        <v>227</v>
      </c>
      <c r="J308" s="75" t="s">
        <v>44</v>
      </c>
      <c r="K308" s="75">
        <v>2025</v>
      </c>
      <c r="L308" s="75"/>
    </row>
    <row r="309" spans="1:12" ht="270" customHeight="1">
      <c r="A309" s="74" t="s">
        <v>22</v>
      </c>
      <c r="B309" s="113" t="s">
        <v>1023</v>
      </c>
      <c r="C309" s="76" t="s">
        <v>1024</v>
      </c>
      <c r="D309" s="76">
        <v>2025</v>
      </c>
      <c r="E309" s="75" t="s">
        <v>590</v>
      </c>
      <c r="F309" s="75" t="s">
        <v>1142</v>
      </c>
      <c r="G309" s="76">
        <v>3.3</v>
      </c>
      <c r="H309" s="76">
        <v>0</v>
      </c>
      <c r="I309" s="75" t="s">
        <v>51</v>
      </c>
      <c r="J309" s="75" t="s">
        <v>44</v>
      </c>
      <c r="K309" s="75">
        <v>2025</v>
      </c>
      <c r="L309" s="75"/>
    </row>
    <row r="310" spans="1:12" ht="270" customHeight="1">
      <c r="A310" s="74" t="s">
        <v>944</v>
      </c>
      <c r="B310" s="74" t="s">
        <v>943</v>
      </c>
      <c r="C310" s="76" t="s">
        <v>942</v>
      </c>
      <c r="D310" s="76">
        <v>2025</v>
      </c>
      <c r="E310" s="75" t="s">
        <v>1143</v>
      </c>
      <c r="F310" s="75" t="s">
        <v>1144</v>
      </c>
      <c r="G310" s="76">
        <v>5</v>
      </c>
      <c r="H310" s="76">
        <v>0</v>
      </c>
      <c r="I310" s="75"/>
      <c r="J310" s="75"/>
      <c r="K310" s="75"/>
      <c r="L310" s="75"/>
    </row>
    <row r="311" spans="1:12" ht="270" customHeight="1">
      <c r="A311" s="74" t="s">
        <v>113</v>
      </c>
      <c r="B311" s="83" t="s">
        <v>916</v>
      </c>
      <c r="C311" s="76" t="s">
        <v>917</v>
      </c>
      <c r="D311" s="76">
        <v>2025</v>
      </c>
      <c r="E311" s="75" t="s">
        <v>590</v>
      </c>
      <c r="F311" s="75" t="s">
        <v>1146</v>
      </c>
      <c r="G311" s="76">
        <v>0</v>
      </c>
      <c r="H311" s="76">
        <v>0</v>
      </c>
      <c r="I311" s="75" t="s">
        <v>51</v>
      </c>
      <c r="J311" s="75" t="s">
        <v>44</v>
      </c>
      <c r="K311" s="75">
        <v>2025</v>
      </c>
      <c r="L311" s="75"/>
    </row>
    <row r="312" spans="1:12" ht="270" customHeight="1">
      <c r="A312" s="74" t="s">
        <v>495</v>
      </c>
      <c r="B312" s="98" t="s">
        <v>1191</v>
      </c>
      <c r="C312" s="76" t="s">
        <v>537</v>
      </c>
      <c r="D312" s="76">
        <v>2025</v>
      </c>
      <c r="E312" s="75" t="s">
        <v>538</v>
      </c>
      <c r="F312" s="75" t="s">
        <v>539</v>
      </c>
      <c r="G312" s="76">
        <v>5</v>
      </c>
      <c r="H312" s="76">
        <v>0</v>
      </c>
      <c r="I312" s="75"/>
      <c r="J312" s="75"/>
      <c r="K312" s="75"/>
      <c r="L312" s="75"/>
    </row>
  </sheetData>
  <sortState xmlns:xlrd2="http://schemas.microsoft.com/office/spreadsheetml/2017/richdata2" ref="A2:L312">
    <sortCondition ref="D2:D312"/>
    <sortCondition ref="C2:C312"/>
  </sortState>
  <hyperlinks>
    <hyperlink ref="B280" r:id="rId1" location="1072" tooltip="vinculo" display="https://www.funcionpublica.gov.co/eva/gestornormativo/norma.php?i=72173 - 1072" xr:uid="{D302141D-E9B7-4FEF-BEF9-783CC7BB0FD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434B0-853B-45B4-8F00-F06AD1892C5A}">
  <dimension ref="H7:H17"/>
  <sheetViews>
    <sheetView workbookViewId="0">
      <selection activeCell="H7" sqref="H7"/>
    </sheetView>
  </sheetViews>
  <sheetFormatPr baseColWidth="10" defaultRowHeight="15"/>
  <cols>
    <col min="8" max="8" width="38.28515625" customWidth="1"/>
  </cols>
  <sheetData>
    <row r="7" spans="8:8" ht="113.25" customHeight="1">
      <c r="H7" s="81"/>
    </row>
    <row r="9" spans="8:8">
      <c r="H9" s="23"/>
    </row>
    <row r="11" spans="8:8">
      <c r="H11" s="23"/>
    </row>
    <row r="13" spans="8:8">
      <c r="H13" s="23"/>
    </row>
    <row r="15" spans="8:8">
      <c r="H15" s="23"/>
    </row>
    <row r="17" spans="8:8">
      <c r="H17" s="23" t="s">
        <v>443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0"/>
  <dimension ref="A1:K18"/>
  <sheetViews>
    <sheetView zoomScale="84" zoomScaleNormal="84" workbookViewId="0">
      <selection activeCell="D4" sqref="D4:E4"/>
    </sheetView>
  </sheetViews>
  <sheetFormatPr baseColWidth="10" defaultColWidth="11.42578125" defaultRowHeight="15"/>
  <cols>
    <col min="1" max="1" width="9.42578125" bestFit="1" customWidth="1"/>
    <col min="2" max="2" width="27.28515625" customWidth="1"/>
    <col min="3" max="3" width="28.28515625" bestFit="1" customWidth="1"/>
    <col min="5" max="5" width="50" customWidth="1"/>
    <col min="6" max="6" width="9.42578125" bestFit="1" customWidth="1"/>
    <col min="7" max="7" width="11" bestFit="1" customWidth="1"/>
    <col min="8" max="8" width="12.42578125" bestFit="1" customWidth="1"/>
    <col min="9" max="9" width="9.42578125" bestFit="1" customWidth="1"/>
    <col min="10" max="10" width="11" bestFit="1" customWidth="1"/>
    <col min="11" max="11" width="12.42578125" bestFit="1" customWidth="1"/>
  </cols>
  <sheetData>
    <row r="1" spans="1:11" ht="35.450000000000003" customHeight="1">
      <c r="A1" s="168" t="s">
        <v>237</v>
      </c>
      <c r="B1" s="160"/>
      <c r="C1" s="160"/>
      <c r="D1" s="160"/>
      <c r="E1" s="160"/>
      <c r="F1" s="160"/>
      <c r="G1" s="151"/>
      <c r="H1" s="159" t="s">
        <v>238</v>
      </c>
      <c r="I1" s="160"/>
      <c r="J1" s="160"/>
      <c r="K1" s="151"/>
    </row>
    <row r="2" spans="1:11" ht="15.95" customHeight="1">
      <c r="A2" s="161" t="s">
        <v>239</v>
      </c>
      <c r="B2" s="162" t="s">
        <v>240</v>
      </c>
      <c r="C2" s="162" t="s">
        <v>241</v>
      </c>
      <c r="D2" s="164" t="s">
        <v>242</v>
      </c>
      <c r="E2" s="165"/>
      <c r="F2" s="163" t="s">
        <v>243</v>
      </c>
      <c r="G2" s="160"/>
      <c r="H2" s="151"/>
      <c r="I2" s="163" t="s">
        <v>244</v>
      </c>
      <c r="J2" s="160"/>
      <c r="K2" s="151"/>
    </row>
    <row r="3" spans="1:11" ht="42.75" customHeight="1">
      <c r="A3" s="133"/>
      <c r="B3" s="133"/>
      <c r="C3" s="133"/>
      <c r="D3" s="166"/>
      <c r="E3" s="167"/>
      <c r="F3" s="7" t="s">
        <v>245</v>
      </c>
      <c r="G3" s="7" t="s">
        <v>246</v>
      </c>
      <c r="H3" s="7" t="s">
        <v>247</v>
      </c>
      <c r="I3" s="7" t="s">
        <v>245</v>
      </c>
      <c r="J3" s="7" t="s">
        <v>246</v>
      </c>
      <c r="K3" s="7" t="s">
        <v>247</v>
      </c>
    </row>
    <row r="4" spans="1:11" ht="31.7" customHeight="1">
      <c r="A4" s="155" t="s">
        <v>248</v>
      </c>
      <c r="B4" s="18" t="s">
        <v>249</v>
      </c>
      <c r="C4" s="17" t="s">
        <v>250</v>
      </c>
      <c r="D4" s="156" t="s">
        <v>251</v>
      </c>
      <c r="E4" s="151"/>
      <c r="F4" s="5">
        <v>4</v>
      </c>
      <c r="G4" s="5">
        <v>4</v>
      </c>
      <c r="H4" s="6">
        <f t="shared" ref="H4:H15" si="0">G4/F4</f>
        <v>1</v>
      </c>
      <c r="I4" s="5">
        <v>4</v>
      </c>
      <c r="J4" s="5">
        <v>4</v>
      </c>
      <c r="K4" s="6">
        <f t="shared" ref="K4:K15" si="1">J4/I4</f>
        <v>1</v>
      </c>
    </row>
    <row r="5" spans="1:11" ht="31.7" customHeight="1">
      <c r="A5" s="133"/>
      <c r="B5" s="20" t="s">
        <v>252</v>
      </c>
      <c r="C5" s="17" t="s">
        <v>250</v>
      </c>
      <c r="D5" s="156" t="s">
        <v>253</v>
      </c>
      <c r="E5" s="151"/>
      <c r="F5" s="5">
        <v>4</v>
      </c>
      <c r="G5" s="5">
        <v>4</v>
      </c>
      <c r="H5" s="6">
        <f t="shared" si="0"/>
        <v>1</v>
      </c>
      <c r="I5" s="5">
        <v>4</v>
      </c>
      <c r="J5" s="5">
        <v>4</v>
      </c>
      <c r="K5" s="6">
        <f t="shared" si="1"/>
        <v>1</v>
      </c>
    </row>
    <row r="6" spans="1:11" ht="40.700000000000003" customHeight="1">
      <c r="A6" s="133"/>
      <c r="B6" s="20" t="s">
        <v>254</v>
      </c>
      <c r="C6" s="17" t="s">
        <v>250</v>
      </c>
      <c r="D6" s="156" t="s">
        <v>255</v>
      </c>
      <c r="E6" s="151"/>
      <c r="F6" s="5">
        <v>4</v>
      </c>
      <c r="G6" s="5">
        <v>4</v>
      </c>
      <c r="H6" s="6">
        <f t="shared" si="0"/>
        <v>1</v>
      </c>
      <c r="I6" s="5">
        <v>4</v>
      </c>
      <c r="J6" s="5">
        <v>4</v>
      </c>
      <c r="K6" s="6">
        <f t="shared" si="1"/>
        <v>1</v>
      </c>
    </row>
    <row r="7" spans="1:11" ht="31.7" customHeight="1">
      <c r="A7" s="133"/>
      <c r="B7" s="20" t="s">
        <v>256</v>
      </c>
      <c r="C7" s="17" t="s">
        <v>250</v>
      </c>
      <c r="D7" s="156" t="s">
        <v>257</v>
      </c>
      <c r="E7" s="151"/>
      <c r="F7" s="5">
        <v>4</v>
      </c>
      <c r="G7" s="5">
        <v>4</v>
      </c>
      <c r="H7" s="6">
        <f t="shared" si="0"/>
        <v>1</v>
      </c>
      <c r="I7" s="5">
        <v>4</v>
      </c>
      <c r="J7" s="5">
        <v>4</v>
      </c>
      <c r="K7" s="6">
        <f t="shared" si="1"/>
        <v>1</v>
      </c>
    </row>
    <row r="8" spans="1:11" ht="31.7" customHeight="1">
      <c r="A8" s="133"/>
      <c r="B8" s="20" t="s">
        <v>258</v>
      </c>
      <c r="C8" s="17" t="s">
        <v>250</v>
      </c>
      <c r="D8" s="156" t="s">
        <v>259</v>
      </c>
      <c r="E8" s="151"/>
      <c r="F8" s="5">
        <v>4</v>
      </c>
      <c r="G8" s="5">
        <v>4</v>
      </c>
      <c r="H8" s="6">
        <f t="shared" si="0"/>
        <v>1</v>
      </c>
      <c r="I8" s="5">
        <v>4</v>
      </c>
      <c r="J8" s="5">
        <v>4</v>
      </c>
      <c r="K8" s="6">
        <f t="shared" si="1"/>
        <v>1</v>
      </c>
    </row>
    <row r="9" spans="1:11" ht="39.75" customHeight="1">
      <c r="A9" s="133"/>
      <c r="B9" s="20" t="s">
        <v>260</v>
      </c>
      <c r="C9" s="17" t="s">
        <v>250</v>
      </c>
      <c r="D9" s="156" t="s">
        <v>261</v>
      </c>
      <c r="E9" s="151"/>
      <c r="F9" s="5">
        <v>4</v>
      </c>
      <c r="G9" s="5">
        <v>4</v>
      </c>
      <c r="H9" s="6">
        <f t="shared" si="0"/>
        <v>1</v>
      </c>
      <c r="I9" s="5">
        <v>4</v>
      </c>
      <c r="J9" s="5">
        <v>4</v>
      </c>
      <c r="K9" s="6">
        <f t="shared" si="1"/>
        <v>1</v>
      </c>
    </row>
    <row r="10" spans="1:11" ht="31.7" customHeight="1">
      <c r="A10" s="134"/>
      <c r="B10" s="20" t="s">
        <v>262</v>
      </c>
      <c r="C10" s="17" t="s">
        <v>250</v>
      </c>
      <c r="D10" s="153" t="s">
        <v>263</v>
      </c>
      <c r="E10" s="151"/>
      <c r="F10" s="5">
        <v>4</v>
      </c>
      <c r="G10" s="5">
        <v>4</v>
      </c>
      <c r="H10" s="6">
        <f t="shared" si="0"/>
        <v>1</v>
      </c>
      <c r="I10" s="5">
        <v>4</v>
      </c>
      <c r="J10" s="5">
        <v>4</v>
      </c>
      <c r="K10" s="6">
        <f t="shared" si="1"/>
        <v>1</v>
      </c>
    </row>
    <row r="11" spans="1:11" ht="42.6" customHeight="1">
      <c r="A11" s="19" t="s">
        <v>264</v>
      </c>
      <c r="B11" s="20" t="s">
        <v>265</v>
      </c>
      <c r="C11" s="17" t="s">
        <v>250</v>
      </c>
      <c r="D11" s="152" t="s">
        <v>266</v>
      </c>
      <c r="E11" s="151"/>
      <c r="F11" s="5">
        <v>4</v>
      </c>
      <c r="G11" s="5">
        <v>4</v>
      </c>
      <c r="H11" s="6">
        <f t="shared" si="0"/>
        <v>1</v>
      </c>
      <c r="I11" s="5">
        <v>4</v>
      </c>
      <c r="J11" s="5">
        <v>4</v>
      </c>
      <c r="K11" s="6">
        <f t="shared" si="1"/>
        <v>1</v>
      </c>
    </row>
    <row r="12" spans="1:11" ht="31.7" customHeight="1">
      <c r="A12" s="155" t="s">
        <v>267</v>
      </c>
      <c r="B12" s="21">
        <v>45001</v>
      </c>
      <c r="C12" s="17" t="s">
        <v>250</v>
      </c>
      <c r="D12" s="157" t="s">
        <v>268</v>
      </c>
      <c r="E12" s="151"/>
      <c r="F12" s="5">
        <v>4</v>
      </c>
      <c r="G12" s="5">
        <v>4</v>
      </c>
      <c r="H12" s="6">
        <f t="shared" si="0"/>
        <v>1</v>
      </c>
      <c r="I12" s="5">
        <v>4</v>
      </c>
      <c r="J12" s="5">
        <v>4</v>
      </c>
      <c r="K12" s="6">
        <f t="shared" si="1"/>
        <v>1</v>
      </c>
    </row>
    <row r="13" spans="1:11" ht="35.450000000000003" customHeight="1">
      <c r="A13" s="133"/>
      <c r="B13" s="21" t="s">
        <v>269</v>
      </c>
      <c r="C13" s="17" t="s">
        <v>250</v>
      </c>
      <c r="D13" s="157" t="s">
        <v>270</v>
      </c>
      <c r="E13" s="151"/>
      <c r="F13" s="5">
        <v>4</v>
      </c>
      <c r="G13" s="5">
        <v>4</v>
      </c>
      <c r="H13" s="6">
        <f t="shared" si="0"/>
        <v>1</v>
      </c>
      <c r="I13" s="5">
        <v>4</v>
      </c>
      <c r="J13" s="5">
        <v>4</v>
      </c>
      <c r="K13" s="6">
        <f t="shared" si="1"/>
        <v>1</v>
      </c>
    </row>
    <row r="14" spans="1:11" ht="47.25" customHeight="1">
      <c r="A14" s="133"/>
      <c r="B14" s="21" t="s">
        <v>271</v>
      </c>
      <c r="C14" s="17" t="s">
        <v>250</v>
      </c>
      <c r="D14" s="157" t="s">
        <v>272</v>
      </c>
      <c r="E14" s="151"/>
      <c r="F14" s="5">
        <v>4</v>
      </c>
      <c r="G14" s="5">
        <v>4</v>
      </c>
      <c r="H14" s="6">
        <f t="shared" si="0"/>
        <v>1</v>
      </c>
      <c r="I14" s="5">
        <v>4</v>
      </c>
      <c r="J14" s="5">
        <v>4</v>
      </c>
      <c r="K14" s="6">
        <f t="shared" si="1"/>
        <v>1</v>
      </c>
    </row>
    <row r="15" spans="1:11" ht="15.95" customHeight="1">
      <c r="A15" s="134"/>
      <c r="B15" s="22" t="s">
        <v>273</v>
      </c>
      <c r="C15" s="17" t="s">
        <v>250</v>
      </c>
      <c r="D15" s="158" t="s">
        <v>274</v>
      </c>
      <c r="E15" s="151"/>
      <c r="F15" s="5">
        <v>4</v>
      </c>
      <c r="G15" s="5">
        <v>4</v>
      </c>
      <c r="H15" s="6">
        <f t="shared" si="0"/>
        <v>1</v>
      </c>
      <c r="I15" s="5">
        <v>4</v>
      </c>
      <c r="J15" s="5">
        <v>4</v>
      </c>
      <c r="K15" s="6">
        <f t="shared" si="1"/>
        <v>1</v>
      </c>
    </row>
    <row r="17" spans="2:6" ht="18.600000000000001" customHeight="1">
      <c r="B17" s="154" t="s">
        <v>275</v>
      </c>
      <c r="C17" s="129"/>
      <c r="D17" s="129"/>
      <c r="E17" s="129"/>
      <c r="F17" s="129"/>
    </row>
    <row r="18" spans="2:6" ht="14.85" customHeight="1">
      <c r="B18" s="129"/>
      <c r="C18" s="129"/>
      <c r="D18" s="129"/>
      <c r="E18" s="129"/>
      <c r="F18" s="129"/>
    </row>
  </sheetData>
  <mergeCells count="23">
    <mergeCell ref="H1:K1"/>
    <mergeCell ref="D9:E9"/>
    <mergeCell ref="A2:A3"/>
    <mergeCell ref="B2:B3"/>
    <mergeCell ref="C2:C3"/>
    <mergeCell ref="A4:A10"/>
    <mergeCell ref="I2:K2"/>
    <mergeCell ref="F2:H2"/>
    <mergeCell ref="D2:E3"/>
    <mergeCell ref="A1:G1"/>
    <mergeCell ref="D11:E11"/>
    <mergeCell ref="D10:E10"/>
    <mergeCell ref="B17:F18"/>
    <mergeCell ref="A12:A15"/>
    <mergeCell ref="D4:E4"/>
    <mergeCell ref="D5:E5"/>
    <mergeCell ref="D6:E6"/>
    <mergeCell ref="D13:E13"/>
    <mergeCell ref="D15:E15"/>
    <mergeCell ref="D14:E14"/>
    <mergeCell ref="D7:E7"/>
    <mergeCell ref="D12:E12"/>
    <mergeCell ref="D8:E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1"/>
  <dimension ref="A1:O12"/>
  <sheetViews>
    <sheetView zoomScale="80" zoomScaleNormal="80" workbookViewId="0">
      <selection activeCell="F22" sqref="F22"/>
    </sheetView>
  </sheetViews>
  <sheetFormatPr baseColWidth="10" defaultRowHeight="15"/>
  <cols>
    <col min="1" max="1" width="12.42578125" customWidth="1"/>
    <col min="2" max="2" width="19" customWidth="1"/>
    <col min="3" max="3" width="25.28515625" customWidth="1"/>
    <col min="4" max="4" width="35.28515625" customWidth="1"/>
    <col min="5" max="5" width="37.42578125" customWidth="1"/>
    <col min="6" max="6" width="52.42578125" customWidth="1"/>
  </cols>
  <sheetData>
    <row r="1" spans="1:15" ht="50.25" customHeight="1">
      <c r="A1" s="169" t="s">
        <v>276</v>
      </c>
      <c r="B1" s="170"/>
      <c r="C1" s="170"/>
      <c r="D1" s="170"/>
      <c r="E1" s="170"/>
      <c r="F1" s="171"/>
      <c r="G1" s="4"/>
      <c r="H1" s="4"/>
      <c r="I1" s="4"/>
      <c r="J1" s="4"/>
      <c r="K1" s="4"/>
      <c r="L1" s="4"/>
      <c r="M1" s="4"/>
      <c r="N1" s="4"/>
      <c r="O1" s="4"/>
    </row>
    <row r="2" spans="1:15" ht="34.35" customHeight="1">
      <c r="A2" s="174" t="s">
        <v>277</v>
      </c>
      <c r="B2" s="177" t="s">
        <v>278</v>
      </c>
      <c r="C2" s="177" t="s">
        <v>279</v>
      </c>
      <c r="D2" s="40" t="s">
        <v>280</v>
      </c>
      <c r="E2" s="40" t="s">
        <v>281</v>
      </c>
      <c r="F2" s="58" t="s">
        <v>282</v>
      </c>
    </row>
    <row r="3" spans="1:15" ht="75.95" customHeight="1">
      <c r="A3" s="175"/>
      <c r="B3" s="134"/>
      <c r="C3" s="134"/>
      <c r="D3" s="41" t="s">
        <v>283</v>
      </c>
      <c r="E3" s="41" t="s">
        <v>284</v>
      </c>
      <c r="F3" s="59" t="s">
        <v>285</v>
      </c>
    </row>
    <row r="4" spans="1:15" ht="18" customHeight="1">
      <c r="A4" s="174" t="s">
        <v>286</v>
      </c>
      <c r="B4" s="176" t="s">
        <v>287</v>
      </c>
      <c r="C4" s="177" t="s">
        <v>288</v>
      </c>
      <c r="D4" s="172" t="s">
        <v>289</v>
      </c>
      <c r="E4" s="160"/>
      <c r="F4" s="173"/>
    </row>
    <row r="5" spans="1:15" ht="18.95" customHeight="1">
      <c r="A5" s="178"/>
      <c r="B5" s="133"/>
      <c r="C5" s="133"/>
      <c r="D5" s="41" t="s">
        <v>290</v>
      </c>
      <c r="E5" s="41" t="s">
        <v>291</v>
      </c>
      <c r="F5" s="59" t="s">
        <v>292</v>
      </c>
    </row>
    <row r="6" spans="1:15" ht="18.95" customHeight="1">
      <c r="A6" s="175"/>
      <c r="B6" s="134"/>
      <c r="C6" s="134"/>
      <c r="D6" s="42" t="s">
        <v>293</v>
      </c>
      <c r="E6" s="40" t="s">
        <v>294</v>
      </c>
      <c r="F6" s="58" t="s">
        <v>295</v>
      </c>
    </row>
    <row r="7" spans="1:15" ht="18" customHeight="1">
      <c r="A7" s="174" t="s">
        <v>296</v>
      </c>
      <c r="B7" s="176" t="s">
        <v>297</v>
      </c>
      <c r="C7" s="177" t="s">
        <v>298</v>
      </c>
      <c r="D7" s="41" t="s">
        <v>299</v>
      </c>
      <c r="E7" s="41" t="s">
        <v>300</v>
      </c>
      <c r="F7" s="59" t="s">
        <v>301</v>
      </c>
    </row>
    <row r="8" spans="1:15" ht="18.95" customHeight="1">
      <c r="A8" s="175"/>
      <c r="B8" s="134"/>
      <c r="C8" s="134"/>
      <c r="D8" s="42" t="s">
        <v>302</v>
      </c>
      <c r="E8" s="40" t="s">
        <v>303</v>
      </c>
      <c r="F8" s="60" t="s">
        <v>304</v>
      </c>
    </row>
    <row r="9" spans="1:15" ht="18.95" customHeight="1">
      <c r="A9" s="174" t="s">
        <v>305</v>
      </c>
      <c r="B9" s="176" t="s">
        <v>306</v>
      </c>
      <c r="C9" s="177" t="s">
        <v>307</v>
      </c>
      <c r="D9" s="41" t="s">
        <v>308</v>
      </c>
      <c r="E9" s="41" t="s">
        <v>309</v>
      </c>
      <c r="F9" s="59" t="s">
        <v>310</v>
      </c>
    </row>
    <row r="10" spans="1:15" ht="18.95" customHeight="1">
      <c r="A10" s="175"/>
      <c r="B10" s="134"/>
      <c r="C10" s="134"/>
      <c r="D10" s="42" t="s">
        <v>311</v>
      </c>
      <c r="E10" s="40" t="s">
        <v>312</v>
      </c>
      <c r="F10" s="58" t="s">
        <v>313</v>
      </c>
    </row>
    <row r="11" spans="1:15" ht="18.95" customHeight="1">
      <c r="A11" s="174" t="s">
        <v>314</v>
      </c>
      <c r="B11" s="176" t="s">
        <v>315</v>
      </c>
      <c r="C11" s="179" t="s">
        <v>316</v>
      </c>
      <c r="D11" s="41" t="s">
        <v>317</v>
      </c>
      <c r="E11" s="41" t="s">
        <v>318</v>
      </c>
      <c r="F11" s="59" t="s">
        <v>319</v>
      </c>
    </row>
    <row r="12" spans="1:15" ht="20.100000000000001" customHeight="1" thickBot="1">
      <c r="A12" s="175"/>
      <c r="B12" s="134"/>
      <c r="C12" s="180"/>
      <c r="D12" s="61" t="s">
        <v>320</v>
      </c>
      <c r="E12" s="61" t="s">
        <v>321</v>
      </c>
      <c r="F12" s="62" t="s">
        <v>322</v>
      </c>
    </row>
  </sheetData>
  <mergeCells count="17">
    <mergeCell ref="A9:A10"/>
    <mergeCell ref="B9:B10"/>
    <mergeCell ref="C9:C10"/>
    <mergeCell ref="A11:A12"/>
    <mergeCell ref="B11:B12"/>
    <mergeCell ref="C11:C12"/>
    <mergeCell ref="A1:F1"/>
    <mergeCell ref="D4:F4"/>
    <mergeCell ref="A7:A8"/>
    <mergeCell ref="B7:B8"/>
    <mergeCell ref="C7:C8"/>
    <mergeCell ref="B2:B3"/>
    <mergeCell ref="C2:C3"/>
    <mergeCell ref="A2:A3"/>
    <mergeCell ref="A4:A6"/>
    <mergeCell ref="B4:B6"/>
    <mergeCell ref="C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2"/>
  <sheetViews>
    <sheetView topLeftCell="A18" zoomScale="80" zoomScaleNormal="80" workbookViewId="0">
      <selection activeCell="D22" sqref="D22"/>
    </sheetView>
  </sheetViews>
  <sheetFormatPr baseColWidth="10" defaultColWidth="9" defaultRowHeight="15"/>
  <cols>
    <col min="1" max="1" width="26.42578125" style="15" customWidth="1"/>
    <col min="2" max="2" width="51.42578125" style="16" customWidth="1"/>
    <col min="3" max="3" width="29" style="14" customWidth="1"/>
    <col min="4" max="4" width="72" style="14" customWidth="1"/>
    <col min="5" max="5" width="34.42578125" style="13" customWidth="1"/>
    <col min="6" max="10" width="9" style="13" customWidth="1"/>
    <col min="11" max="16384" width="9" style="13"/>
  </cols>
  <sheetData>
    <row r="1" spans="1:8" ht="128.1" customHeight="1">
      <c r="A1" s="181" t="s">
        <v>323</v>
      </c>
      <c r="B1" s="160"/>
      <c r="C1" s="160"/>
      <c r="D1" s="151"/>
      <c r="E1" s="32" t="s">
        <v>33</v>
      </c>
    </row>
    <row r="2" spans="1:8" ht="144.94999999999999" customHeight="1">
      <c r="A2" s="33" t="s">
        <v>324</v>
      </c>
      <c r="B2" s="34" t="s">
        <v>325</v>
      </c>
      <c r="C2" s="34" t="s">
        <v>326</v>
      </c>
      <c r="D2" s="35" t="s">
        <v>327</v>
      </c>
      <c r="E2" s="36" t="s">
        <v>328</v>
      </c>
      <c r="F2" s="14"/>
      <c r="G2" s="14"/>
      <c r="H2" s="14"/>
    </row>
    <row r="3" spans="1:8" ht="32.1" customHeight="1">
      <c r="A3" s="182">
        <v>45823</v>
      </c>
      <c r="B3" s="1" t="s">
        <v>329</v>
      </c>
      <c r="C3" s="43" t="s">
        <v>330</v>
      </c>
      <c r="D3" s="1" t="s">
        <v>331</v>
      </c>
      <c r="E3" s="183" t="s">
        <v>332</v>
      </c>
    </row>
    <row r="4" spans="1:8" ht="96" customHeight="1">
      <c r="A4" s="133"/>
      <c r="B4" s="1" t="s">
        <v>333</v>
      </c>
      <c r="C4" s="43" t="s">
        <v>334</v>
      </c>
      <c r="D4" s="44" t="s">
        <v>335</v>
      </c>
      <c r="E4" s="133"/>
    </row>
    <row r="5" spans="1:8" ht="63.95" customHeight="1">
      <c r="A5" s="133"/>
      <c r="B5" s="44" t="s">
        <v>75</v>
      </c>
      <c r="C5" s="43" t="s">
        <v>334</v>
      </c>
      <c r="D5" s="44" t="s">
        <v>336</v>
      </c>
      <c r="E5" s="133"/>
    </row>
    <row r="6" spans="1:8" ht="80.099999999999994" customHeight="1">
      <c r="A6" s="133"/>
      <c r="B6" s="1" t="s">
        <v>337</v>
      </c>
      <c r="C6" s="43" t="s">
        <v>338</v>
      </c>
      <c r="D6" s="1" t="s">
        <v>339</v>
      </c>
      <c r="E6" s="133"/>
    </row>
    <row r="7" spans="1:8" ht="96" customHeight="1">
      <c r="A7" s="133"/>
      <c r="B7" s="1" t="s">
        <v>340</v>
      </c>
      <c r="C7" s="43" t="s">
        <v>341</v>
      </c>
      <c r="D7" s="1" t="s">
        <v>342</v>
      </c>
      <c r="E7" s="133"/>
    </row>
    <row r="8" spans="1:8" ht="80.099999999999994" customHeight="1">
      <c r="A8" s="133"/>
      <c r="B8" s="1" t="s">
        <v>343</v>
      </c>
      <c r="C8" s="43" t="s">
        <v>344</v>
      </c>
      <c r="D8" s="1" t="s">
        <v>345</v>
      </c>
      <c r="E8" s="133"/>
    </row>
    <row r="9" spans="1:8" ht="96" customHeight="1">
      <c r="A9" s="133"/>
      <c r="B9" s="1" t="s">
        <v>346</v>
      </c>
      <c r="C9" s="43" t="s">
        <v>344</v>
      </c>
      <c r="D9" s="44" t="s">
        <v>347</v>
      </c>
      <c r="E9" s="133"/>
    </row>
    <row r="10" spans="1:8" ht="32.1" customHeight="1">
      <c r="A10" s="133"/>
      <c r="B10" s="1" t="s">
        <v>63</v>
      </c>
      <c r="C10" s="43" t="s">
        <v>348</v>
      </c>
      <c r="D10" s="1" t="s">
        <v>349</v>
      </c>
      <c r="E10" s="133"/>
    </row>
    <row r="11" spans="1:8" ht="96" customHeight="1">
      <c r="A11" s="133"/>
      <c r="B11" s="1" t="s">
        <v>350</v>
      </c>
      <c r="C11" s="43" t="s">
        <v>351</v>
      </c>
      <c r="D11" s="44" t="s">
        <v>352</v>
      </c>
      <c r="E11" s="133"/>
    </row>
    <row r="12" spans="1:8" ht="63.95" customHeight="1">
      <c r="A12" s="134"/>
      <c r="B12" s="1" t="s">
        <v>353</v>
      </c>
      <c r="C12" s="43" t="s">
        <v>354</v>
      </c>
      <c r="D12" s="1" t="s">
        <v>355</v>
      </c>
      <c r="E12" s="134"/>
    </row>
    <row r="13" spans="1:8" ht="113.1" customHeight="1">
      <c r="A13" s="182">
        <v>45969</v>
      </c>
      <c r="B13" s="1" t="s">
        <v>356</v>
      </c>
      <c r="C13" s="43" t="s">
        <v>357</v>
      </c>
      <c r="D13" s="1" t="s">
        <v>358</v>
      </c>
      <c r="E13" s="184"/>
    </row>
    <row r="14" spans="1:8" ht="96" customHeight="1">
      <c r="A14" s="133"/>
      <c r="B14" s="1" t="s">
        <v>359</v>
      </c>
      <c r="C14" s="43" t="s">
        <v>357</v>
      </c>
      <c r="D14" s="1" t="s">
        <v>360</v>
      </c>
      <c r="E14" s="185"/>
    </row>
    <row r="15" spans="1:8" ht="63.95" customHeight="1">
      <c r="A15" s="133"/>
      <c r="B15" s="1" t="s">
        <v>361</v>
      </c>
      <c r="C15" s="43" t="s">
        <v>357</v>
      </c>
      <c r="D15" s="1" t="s">
        <v>362</v>
      </c>
      <c r="E15" s="185"/>
    </row>
    <row r="16" spans="1:8" ht="96" customHeight="1">
      <c r="A16" s="133"/>
      <c r="B16" s="1" t="s">
        <v>363</v>
      </c>
      <c r="C16" s="43" t="s">
        <v>357</v>
      </c>
      <c r="D16" s="1" t="s">
        <v>364</v>
      </c>
      <c r="E16" s="185"/>
    </row>
    <row r="17" spans="1:5" ht="80.099999999999994" customHeight="1">
      <c r="A17" s="133"/>
      <c r="B17" s="1" t="s">
        <v>365</v>
      </c>
      <c r="C17" s="43" t="s">
        <v>357</v>
      </c>
      <c r="D17" s="1" t="s">
        <v>366</v>
      </c>
      <c r="E17" s="185"/>
    </row>
    <row r="18" spans="1:5" ht="105" customHeight="1">
      <c r="A18" s="133"/>
      <c r="B18" s="1" t="s">
        <v>47</v>
      </c>
      <c r="C18" s="43" t="s">
        <v>46</v>
      </c>
      <c r="D18" s="1" t="s">
        <v>367</v>
      </c>
      <c r="E18" s="185"/>
    </row>
    <row r="19" spans="1:5" ht="74.099999999999994" customHeight="1">
      <c r="A19" s="133"/>
      <c r="B19" s="1" t="s">
        <v>49</v>
      </c>
      <c r="C19" s="43" t="s">
        <v>46</v>
      </c>
      <c r="D19" s="1" t="s">
        <v>368</v>
      </c>
      <c r="E19" s="185"/>
    </row>
    <row r="20" spans="1:5" ht="77.099999999999994" customHeight="1">
      <c r="A20" s="133"/>
      <c r="B20" s="1" t="s">
        <v>50</v>
      </c>
      <c r="C20" s="43" t="s">
        <v>46</v>
      </c>
      <c r="D20" s="1" t="s">
        <v>369</v>
      </c>
      <c r="E20" s="185"/>
    </row>
    <row r="21" spans="1:5" ht="66.95" customHeight="1">
      <c r="A21" s="133"/>
      <c r="B21" s="1" t="s">
        <v>52</v>
      </c>
      <c r="C21" s="43" t="s">
        <v>46</v>
      </c>
      <c r="D21" s="1" t="s">
        <v>370</v>
      </c>
      <c r="E21" s="185"/>
    </row>
    <row r="22" spans="1:5" ht="111.95" customHeight="1">
      <c r="A22" s="134"/>
      <c r="B22" s="1" t="s">
        <v>371</v>
      </c>
      <c r="C22" s="43" t="s">
        <v>372</v>
      </c>
      <c r="D22" s="1"/>
      <c r="E22" s="186"/>
    </row>
  </sheetData>
  <mergeCells count="5">
    <mergeCell ref="A1:D1"/>
    <mergeCell ref="A3:A12"/>
    <mergeCell ref="E3:E12"/>
    <mergeCell ref="A13:A22"/>
    <mergeCell ref="E13:E22"/>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8"/>
  <sheetViews>
    <sheetView showGridLines="0" topLeftCell="A14" zoomScale="90" zoomScaleNormal="90" workbookViewId="0">
      <selection activeCell="C14" sqref="C14:H14"/>
    </sheetView>
  </sheetViews>
  <sheetFormatPr baseColWidth="10" defaultRowHeight="15"/>
  <cols>
    <col min="4" max="4" width="11" customWidth="1"/>
    <col min="8" max="8" width="44.140625" customWidth="1"/>
    <col min="9" max="9" width="5.42578125" customWidth="1"/>
    <col min="10" max="10" width="13.42578125" customWidth="1"/>
    <col min="11" max="11" width="28" customWidth="1"/>
  </cols>
  <sheetData>
    <row r="1" spans="1:11" ht="14.85" customHeight="1">
      <c r="A1" s="192" t="s">
        <v>373</v>
      </c>
      <c r="B1" s="142"/>
      <c r="C1" s="142"/>
      <c r="D1" s="142"/>
      <c r="E1" s="142"/>
      <c r="F1" s="142"/>
      <c r="G1" s="142"/>
      <c r="H1" s="142"/>
      <c r="I1" s="142"/>
      <c r="J1" s="193"/>
      <c r="K1" s="26" t="s">
        <v>374</v>
      </c>
    </row>
    <row r="2" spans="1:11">
      <c r="A2" s="144"/>
      <c r="B2" s="129"/>
      <c r="C2" s="129"/>
      <c r="D2" s="129"/>
      <c r="E2" s="129"/>
      <c r="F2" s="129"/>
      <c r="G2" s="129"/>
      <c r="H2" s="129"/>
      <c r="I2" s="129"/>
      <c r="J2" s="194"/>
      <c r="K2" s="27" t="s">
        <v>375</v>
      </c>
    </row>
    <row r="3" spans="1:11" ht="17.100000000000001" customHeight="1" thickBot="1">
      <c r="A3" s="146"/>
      <c r="B3" s="147"/>
      <c r="C3" s="147"/>
      <c r="D3" s="147"/>
      <c r="E3" s="147"/>
      <c r="F3" s="147"/>
      <c r="G3" s="147"/>
      <c r="H3" s="147"/>
      <c r="I3" s="147"/>
      <c r="J3" s="195"/>
      <c r="K3" s="28" t="s">
        <v>376</v>
      </c>
    </row>
    <row r="4" spans="1:11" ht="15.95" customHeight="1" thickBot="1"/>
    <row r="5" spans="1:11" ht="87.6" customHeight="1" thickBot="1">
      <c r="A5" s="196" t="s">
        <v>377</v>
      </c>
      <c r="B5" s="138"/>
      <c r="C5" s="138"/>
      <c r="D5" s="138"/>
      <c r="E5" s="138"/>
      <c r="F5" s="138"/>
      <c r="G5" s="138"/>
      <c r="H5" s="138"/>
      <c r="I5" s="138"/>
      <c r="J5" s="138"/>
      <c r="K5" s="197"/>
    </row>
    <row r="6" spans="1:11" ht="15.95" customHeight="1" thickBot="1"/>
    <row r="7" spans="1:11" ht="167.85" customHeight="1" thickBot="1">
      <c r="A7" s="198" t="s">
        <v>378</v>
      </c>
      <c r="B7" s="138"/>
      <c r="C7" s="138"/>
      <c r="D7" s="138"/>
      <c r="E7" s="138"/>
      <c r="F7" s="138"/>
      <c r="G7" s="138"/>
      <c r="H7" s="138"/>
      <c r="I7" s="138"/>
      <c r="J7" s="138"/>
      <c r="K7" s="197"/>
    </row>
    <row r="8" spans="1:11">
      <c r="A8" s="23" t="s">
        <v>379</v>
      </c>
    </row>
    <row r="9" spans="1:11" ht="15.95" customHeight="1">
      <c r="A9" s="199" t="s">
        <v>380</v>
      </c>
      <c r="B9" s="151"/>
      <c r="C9" s="200" t="s">
        <v>381</v>
      </c>
      <c r="D9" s="160"/>
      <c r="E9" s="160"/>
      <c r="F9" s="160"/>
      <c r="G9" s="160"/>
      <c r="H9" s="151"/>
      <c r="I9" s="200" t="s">
        <v>382</v>
      </c>
      <c r="J9" s="151"/>
      <c r="K9" s="25" t="s">
        <v>383</v>
      </c>
    </row>
    <row r="10" spans="1:11" ht="144.6" customHeight="1">
      <c r="A10" s="187" t="s">
        <v>384</v>
      </c>
      <c r="B10" s="151"/>
      <c r="C10" s="157" t="s">
        <v>385</v>
      </c>
      <c r="D10" s="160"/>
      <c r="E10" s="160"/>
      <c r="F10" s="160"/>
      <c r="G10" s="160"/>
      <c r="H10" s="151"/>
      <c r="I10" s="152" t="s">
        <v>386</v>
      </c>
      <c r="J10" s="151"/>
      <c r="K10" s="24" t="s">
        <v>387</v>
      </c>
    </row>
    <row r="11" spans="1:11" ht="217.5" customHeight="1">
      <c r="A11" s="187" t="s">
        <v>388</v>
      </c>
      <c r="B11" s="151"/>
      <c r="C11" s="157" t="s">
        <v>389</v>
      </c>
      <c r="D11" s="160"/>
      <c r="E11" s="160"/>
      <c r="F11" s="160"/>
      <c r="G11" s="160"/>
      <c r="H11" s="151"/>
      <c r="I11" s="152" t="s">
        <v>386</v>
      </c>
      <c r="J11" s="151"/>
      <c r="K11" s="24" t="s">
        <v>387</v>
      </c>
    </row>
    <row r="12" spans="1:11" ht="189" customHeight="1">
      <c r="A12" s="191" t="s">
        <v>390</v>
      </c>
      <c r="B12" s="151"/>
      <c r="C12" s="157" t="s">
        <v>391</v>
      </c>
      <c r="D12" s="160"/>
      <c r="E12" s="160"/>
      <c r="F12" s="160"/>
      <c r="G12" s="160"/>
      <c r="H12" s="151"/>
      <c r="I12" s="152" t="s">
        <v>386</v>
      </c>
      <c r="J12" s="151"/>
      <c r="K12" s="24" t="s">
        <v>387</v>
      </c>
    </row>
    <row r="13" spans="1:11" ht="65.099999999999994" customHeight="1">
      <c r="A13" s="187" t="s">
        <v>392</v>
      </c>
      <c r="B13" s="151"/>
      <c r="C13" s="157" t="s">
        <v>393</v>
      </c>
      <c r="D13" s="160"/>
      <c r="E13" s="160"/>
      <c r="F13" s="160"/>
      <c r="G13" s="160"/>
      <c r="H13" s="151"/>
      <c r="I13" s="152" t="s">
        <v>386</v>
      </c>
      <c r="J13" s="151"/>
      <c r="K13" s="2" t="s">
        <v>394</v>
      </c>
    </row>
    <row r="14" spans="1:11" ht="133.5" customHeight="1">
      <c r="A14" s="187" t="s">
        <v>395</v>
      </c>
      <c r="B14" s="151"/>
      <c r="C14" s="157" t="s">
        <v>396</v>
      </c>
      <c r="D14" s="160"/>
      <c r="E14" s="160"/>
      <c r="F14" s="160"/>
      <c r="G14" s="160"/>
      <c r="H14" s="151"/>
      <c r="I14" s="152" t="s">
        <v>386</v>
      </c>
      <c r="J14" s="151"/>
      <c r="K14" s="24" t="s">
        <v>387</v>
      </c>
    </row>
    <row r="15" spans="1:11" ht="52.35" customHeight="1">
      <c r="A15" s="187" t="s">
        <v>397</v>
      </c>
      <c r="B15" s="151"/>
      <c r="C15" s="157" t="s">
        <v>398</v>
      </c>
      <c r="D15" s="160"/>
      <c r="E15" s="160"/>
      <c r="F15" s="160"/>
      <c r="G15" s="160"/>
      <c r="H15" s="151"/>
      <c r="I15" s="152" t="s">
        <v>386</v>
      </c>
      <c r="J15" s="151"/>
      <c r="K15" s="2" t="s">
        <v>399</v>
      </c>
    </row>
    <row r="16" spans="1:11" ht="96.6" customHeight="1">
      <c r="A16" s="187" t="s">
        <v>400</v>
      </c>
      <c r="B16" s="151"/>
      <c r="C16" s="157" t="s">
        <v>401</v>
      </c>
      <c r="D16" s="160"/>
      <c r="E16" s="160"/>
      <c r="F16" s="160"/>
      <c r="G16" s="160"/>
      <c r="H16" s="151"/>
      <c r="I16" s="152" t="s">
        <v>386</v>
      </c>
      <c r="J16" s="151"/>
      <c r="K16" s="2" t="s">
        <v>402</v>
      </c>
    </row>
    <row r="17" spans="1:11" ht="18.95" customHeight="1">
      <c r="A17" s="188" t="s">
        <v>403</v>
      </c>
      <c r="B17" s="160"/>
      <c r="C17" s="160"/>
      <c r="D17" s="160"/>
      <c r="E17" s="160"/>
      <c r="F17" s="160"/>
      <c r="G17" s="160"/>
      <c r="H17" s="160"/>
      <c r="I17" s="160"/>
      <c r="J17" s="160"/>
      <c r="K17" s="151"/>
    </row>
    <row r="18" spans="1:11" ht="63" customHeight="1">
      <c r="A18" s="37" t="s">
        <v>404</v>
      </c>
      <c r="B18" s="189" t="s">
        <v>405</v>
      </c>
      <c r="C18" s="160"/>
      <c r="D18" s="151"/>
      <c r="E18" s="190" t="s">
        <v>406</v>
      </c>
      <c r="F18" s="151"/>
      <c r="G18" s="190" t="s">
        <v>407</v>
      </c>
      <c r="H18" s="160"/>
      <c r="I18" s="151"/>
      <c r="J18" s="38" t="s">
        <v>408</v>
      </c>
      <c r="K18" s="39" t="s">
        <v>409</v>
      </c>
    </row>
  </sheetData>
  <mergeCells count="31">
    <mergeCell ref="A1:J3"/>
    <mergeCell ref="A5:K5"/>
    <mergeCell ref="A7:K7"/>
    <mergeCell ref="A9:B9"/>
    <mergeCell ref="C9:H9"/>
    <mergeCell ref="I9:J9"/>
    <mergeCell ref="A10:B10"/>
    <mergeCell ref="C10:H10"/>
    <mergeCell ref="I10:J10"/>
    <mergeCell ref="A11:B11"/>
    <mergeCell ref="C11:H11"/>
    <mergeCell ref="I11:J11"/>
    <mergeCell ref="A12:B12"/>
    <mergeCell ref="C12:H12"/>
    <mergeCell ref="I12:J12"/>
    <mergeCell ref="A13:B13"/>
    <mergeCell ref="C13:H13"/>
    <mergeCell ref="I13:J13"/>
    <mergeCell ref="A14:B14"/>
    <mergeCell ref="C14:H14"/>
    <mergeCell ref="I14:J14"/>
    <mergeCell ref="A15:B15"/>
    <mergeCell ref="C15:H15"/>
    <mergeCell ref="I15:J15"/>
    <mergeCell ref="A16:B16"/>
    <mergeCell ref="C16:H16"/>
    <mergeCell ref="I16:J16"/>
    <mergeCell ref="A17:K17"/>
    <mergeCell ref="B18:D18"/>
    <mergeCell ref="E18:F18"/>
    <mergeCell ref="G18:I18"/>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BF5D2-8E57-44B2-9D21-B5AAEF50CE20}">
  <dimension ref="D3:I24"/>
  <sheetViews>
    <sheetView topLeftCell="C4" workbookViewId="0">
      <selection activeCell="F20" sqref="F20"/>
    </sheetView>
  </sheetViews>
  <sheetFormatPr baseColWidth="10" defaultRowHeight="15"/>
  <cols>
    <col min="4" max="4" width="42.85546875" bestFit="1" customWidth="1"/>
    <col min="6" max="6" width="65.140625" bestFit="1" customWidth="1"/>
    <col min="8" max="8" width="36.7109375" bestFit="1" customWidth="1"/>
  </cols>
  <sheetData>
    <row r="3" spans="4:9">
      <c r="D3" s="126" t="s">
        <v>1066</v>
      </c>
      <c r="E3" s="126"/>
      <c r="F3" s="126" t="s">
        <v>1067</v>
      </c>
      <c r="G3" s="126"/>
      <c r="H3" s="126" t="s">
        <v>1069</v>
      </c>
      <c r="I3" s="127"/>
    </row>
    <row r="4" spans="4:9">
      <c r="D4" s="127"/>
      <c r="E4" s="127"/>
      <c r="F4" s="127"/>
      <c r="G4" s="127"/>
      <c r="H4" s="127"/>
      <c r="I4" s="127"/>
    </row>
    <row r="5" spans="4:9">
      <c r="D5" s="127" t="s">
        <v>1065</v>
      </c>
      <c r="E5" s="127"/>
      <c r="F5" s="127" t="s">
        <v>1204</v>
      </c>
      <c r="G5" s="127"/>
      <c r="H5" s="127" t="s">
        <v>1070</v>
      </c>
      <c r="I5" s="127"/>
    </row>
    <row r="6" spans="4:9">
      <c r="D6" s="127" t="s">
        <v>1244</v>
      </c>
      <c r="E6" s="127"/>
      <c r="F6" s="127" t="s">
        <v>1209</v>
      </c>
      <c r="G6" s="127"/>
      <c r="H6" s="127" t="s">
        <v>1076</v>
      </c>
      <c r="I6" s="127"/>
    </row>
    <row r="7" spans="4:9">
      <c r="D7" s="127" t="s">
        <v>1246</v>
      </c>
      <c r="E7" s="127"/>
      <c r="F7" s="127" t="s">
        <v>1219</v>
      </c>
      <c r="G7" s="127"/>
      <c r="H7" s="127" t="s">
        <v>1080</v>
      </c>
      <c r="I7" s="127"/>
    </row>
    <row r="8" spans="4:9">
      <c r="D8" s="127" t="s">
        <v>1258</v>
      </c>
      <c r="E8" s="127"/>
      <c r="F8" s="127" t="s">
        <v>1220</v>
      </c>
      <c r="G8" s="127"/>
      <c r="H8" s="127" t="s">
        <v>1081</v>
      </c>
      <c r="I8" s="127"/>
    </row>
    <row r="9" spans="4:9">
      <c r="D9" s="127" t="s">
        <v>1262</v>
      </c>
      <c r="E9" s="127"/>
      <c r="F9" s="127" t="s">
        <v>1271</v>
      </c>
      <c r="G9" s="127"/>
      <c r="H9" s="127" t="s">
        <v>1126</v>
      </c>
      <c r="I9" s="127"/>
    </row>
    <row r="10" spans="4:9">
      <c r="D10" s="127" t="s">
        <v>1265</v>
      </c>
      <c r="E10" s="127"/>
      <c r="F10" s="127"/>
      <c r="G10" s="127"/>
      <c r="H10" s="127" t="s">
        <v>1120</v>
      </c>
      <c r="I10" s="127"/>
    </row>
    <row r="11" spans="4:9">
      <c r="D11" s="127" t="s">
        <v>1274</v>
      </c>
      <c r="E11" s="127"/>
      <c r="F11" s="127"/>
      <c r="G11" s="127"/>
      <c r="H11" s="127" t="s">
        <v>1124</v>
      </c>
      <c r="I11" s="127"/>
    </row>
    <row r="12" spans="4:9">
      <c r="D12" s="127"/>
      <c r="E12" s="127"/>
      <c r="F12" s="127"/>
      <c r="G12" s="127"/>
      <c r="H12" s="127" t="s">
        <v>1125</v>
      </c>
      <c r="I12" s="127"/>
    </row>
    <row r="13" spans="4:9">
      <c r="D13" s="127"/>
      <c r="E13" s="127"/>
      <c r="F13" s="127"/>
      <c r="G13" s="127"/>
      <c r="H13" s="127" t="s">
        <v>1133</v>
      </c>
      <c r="I13" s="127"/>
    </row>
    <row r="14" spans="4:9">
      <c r="D14" s="127"/>
      <c r="E14" s="127"/>
      <c r="F14" s="127"/>
      <c r="G14" s="127"/>
      <c r="H14" s="127" t="s">
        <v>1134</v>
      </c>
      <c r="I14" s="127"/>
    </row>
    <row r="15" spans="4:9">
      <c r="D15" s="127"/>
      <c r="E15" s="127"/>
      <c r="F15" s="127"/>
      <c r="G15" s="127"/>
      <c r="H15" s="127" t="s">
        <v>1141</v>
      </c>
      <c r="I15" s="127"/>
    </row>
    <row r="16" spans="4:9">
      <c r="D16" s="127"/>
      <c r="E16" s="127"/>
      <c r="F16" s="127"/>
      <c r="G16" s="127"/>
      <c r="H16" s="127" t="s">
        <v>1145</v>
      </c>
      <c r="I16" s="127"/>
    </row>
    <row r="17" spans="4:9">
      <c r="D17" s="127"/>
      <c r="E17" s="127"/>
      <c r="F17" s="127"/>
      <c r="G17" s="127"/>
      <c r="H17" s="127" t="s">
        <v>1157</v>
      </c>
      <c r="I17" s="127"/>
    </row>
    <row r="18" spans="4:9">
      <c r="D18" s="127"/>
      <c r="E18" s="127"/>
      <c r="F18" s="127"/>
      <c r="G18" s="127"/>
      <c r="H18" s="127" t="s">
        <v>1218</v>
      </c>
      <c r="I18" s="127"/>
    </row>
    <row r="19" spans="4:9">
      <c r="D19" s="127"/>
      <c r="E19" s="127"/>
      <c r="F19" s="127"/>
      <c r="G19" s="127"/>
      <c r="H19" s="127" t="s">
        <v>1223</v>
      </c>
      <c r="I19" s="127"/>
    </row>
    <row r="20" spans="4:9">
      <c r="D20" s="127"/>
      <c r="E20" s="127"/>
      <c r="F20" s="127"/>
      <c r="G20" s="127"/>
      <c r="H20" s="127" t="s">
        <v>979</v>
      </c>
      <c r="I20" s="127"/>
    </row>
    <row r="21" spans="4:9">
      <c r="D21" s="127"/>
      <c r="E21" s="127"/>
      <c r="F21" s="127"/>
      <c r="G21" s="127"/>
      <c r="H21" s="127" t="s">
        <v>1243</v>
      </c>
      <c r="I21" s="127"/>
    </row>
    <row r="22" spans="4:9">
      <c r="D22" s="127"/>
      <c r="E22" s="127"/>
      <c r="F22" s="127"/>
      <c r="G22" s="127"/>
      <c r="H22" s="127" t="s">
        <v>1272</v>
      </c>
      <c r="I22" s="127"/>
    </row>
    <row r="23" spans="4:9">
      <c r="D23" s="127"/>
      <c r="E23" s="127"/>
      <c r="F23" s="127"/>
      <c r="G23" s="127"/>
      <c r="H23" s="127" t="s">
        <v>1296</v>
      </c>
      <c r="I23" s="127"/>
    </row>
    <row r="24" spans="4:9">
      <c r="D24" s="127"/>
      <c r="E24" s="127"/>
      <c r="F24" s="127"/>
      <c r="G24" s="127"/>
      <c r="H24" s="127"/>
      <c r="I24" s="12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7</vt:i4>
      </vt:variant>
    </vt:vector>
  </HeadingPairs>
  <TitlesOfParts>
    <vt:vector size="16" baseType="lpstr">
      <vt:lpstr>Presentación</vt:lpstr>
      <vt:lpstr>% Cumplimiento</vt:lpstr>
      <vt:lpstr>Requisitos Generales</vt:lpstr>
      <vt:lpstr>borrador</vt:lpstr>
      <vt:lpstr>Otros</vt:lpstr>
      <vt:lpstr>Sanciones</vt:lpstr>
      <vt:lpstr>Cambios</vt:lpstr>
      <vt:lpstr>Procedimiento</vt:lpstr>
      <vt:lpstr>control de cambios</vt:lpstr>
      <vt:lpstr>'Requisitos Generales'!ver_30274844</vt:lpstr>
      <vt:lpstr>'Requisitos Generales'!ver_30274845</vt:lpstr>
      <vt:lpstr>'Requisitos Generales'!ver_30274846</vt:lpstr>
      <vt:lpstr>'Requisitos Generales'!ver_30274847</vt:lpstr>
      <vt:lpstr>'Requisitos Generales'!ver_30274926</vt:lpstr>
      <vt:lpstr>'Requisitos Generales'!ver_30274927</vt:lpstr>
      <vt:lpstr>'Requisitos Generales'!ver_30274949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F Rico</dc:creator>
  <cp:lastModifiedBy>Talento Consultores Talento Consultores</cp:lastModifiedBy>
  <dcterms:created xsi:type="dcterms:W3CDTF">2015-07-02T15:27:47Z</dcterms:created>
  <dcterms:modified xsi:type="dcterms:W3CDTF">2025-12-13T15:06:33Z</dcterms:modified>
</cp:coreProperties>
</file>