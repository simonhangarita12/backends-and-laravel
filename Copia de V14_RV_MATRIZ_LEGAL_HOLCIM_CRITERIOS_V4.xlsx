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D:\Users\siste\pesv\"/>
    </mc:Choice>
  </mc:AlternateContent>
  <xr:revisionPtr revIDLastSave="0" documentId="13_ncr:1_{A3D35950-0BD4-44DF-B053-8F494CB4AEEF}" xr6:coauthVersionLast="47" xr6:coauthVersionMax="47" xr10:uidLastSave="{00000000-0000-0000-0000-000000000000}"/>
  <bookViews>
    <workbookView xWindow="-120" yWindow="-120" windowWidth="29040" windowHeight="15720" tabRatio="966" activeTab="2" xr2:uid="{00000000-000D-0000-FFFF-FFFF00000000}"/>
  </bookViews>
  <sheets>
    <sheet name="Presentación" sheetId="1" r:id="rId1"/>
    <sheet name="% Cumplimiento" sheetId="2" r:id="rId2"/>
    <sheet name="Requisitos Generales" sheetId="8" r:id="rId3"/>
    <sheet name="Otros" sheetId="4" r:id="rId4"/>
    <sheet name="Sanciones" sheetId="5" r:id="rId5"/>
    <sheet name="Cambios" sheetId="6" r:id="rId6"/>
    <sheet name="Procedimiento" sheetId="7" r:id="rId7"/>
  </sheets>
  <definedNames>
    <definedName name="_xlnm._FilterDatabase" localSheetId="2" hidden="1">'Requisitos Generales'!$A$1:$K$400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5" i="4" l="1"/>
  <c r="H15" i="4"/>
  <c r="K14" i="4"/>
  <c r="H14" i="4"/>
  <c r="K13" i="4"/>
  <c r="H13" i="4"/>
  <c r="K12" i="4"/>
  <c r="H12" i="4"/>
  <c r="K11" i="4"/>
  <c r="H11" i="4"/>
  <c r="K10" i="4"/>
  <c r="H10" i="4"/>
  <c r="K9" i="4"/>
  <c r="H9" i="4"/>
  <c r="K8" i="4"/>
  <c r="H8" i="4"/>
  <c r="K7" i="4"/>
  <c r="H7" i="4"/>
  <c r="K6" i="4"/>
  <c r="H6" i="4"/>
  <c r="K5" i="4"/>
  <c r="H5" i="4"/>
  <c r="K4" i="4"/>
  <c r="H4" i="4"/>
  <c r="C21" i="2"/>
  <c r="D20" i="2"/>
  <c r="E20" i="2" s="1"/>
  <c r="E19" i="2"/>
  <c r="D19" i="2"/>
  <c r="D18" i="2"/>
  <c r="E18" i="2" s="1"/>
  <c r="E17" i="2"/>
  <c r="D17" i="2"/>
  <c r="D16" i="2"/>
  <c r="E16" i="2" s="1"/>
  <c r="D15" i="2"/>
  <c r="E15" i="2" s="1"/>
  <c r="D14" i="2"/>
  <c r="D21" i="2" s="1"/>
  <c r="C11" i="2"/>
  <c r="D10" i="2"/>
  <c r="E10" i="2" s="1"/>
  <c r="D9" i="2"/>
  <c r="E9" i="2" s="1"/>
  <c r="D8" i="2"/>
  <c r="E8" i="2" s="1"/>
  <c r="D7" i="2"/>
  <c r="E7" i="2" s="1"/>
  <c r="D6" i="2"/>
  <c r="E6" i="2" s="1"/>
  <c r="D5" i="2"/>
  <c r="E5" i="2" s="1"/>
  <c r="D4" i="2"/>
  <c r="E4" i="2" s="1"/>
  <c r="E11" i="2" s="1"/>
  <c r="M9" i="1" s="1"/>
  <c r="O9" i="1"/>
  <c r="E14" i="2" l="1"/>
  <c r="E21" i="2" s="1"/>
  <c r="D11" i="2"/>
</calcChain>
</file>

<file path=xl/sharedStrings.xml><?xml version="1.0" encoding="utf-8"?>
<sst xmlns="http://schemas.openxmlformats.org/spreadsheetml/2006/main" count="2451" uniqueCount="982">
  <si>
    <t xml:space="preserve">PROCEDIMIENTO PARA IDENTIFICAR, AGRUPAR, EVALUAR Y ACTUALIZAR LOS REQUISTOS LEGALES </t>
  </si>
  <si>
    <t>REQUISITOS GENERALES</t>
  </si>
  <si>
    <t>DE
SEGURIDAD</t>
  </si>
  <si>
    <t>FÍSICOS
1. Verificar registros documentales de cumplimiento del requisito.
2. Confirmar actualización de procedimientos y formatos relacionados.
3. Revisar trazabilidad de acciones preventivas y correctivas.</t>
  </si>
  <si>
    <t>QUÍMICOS</t>
  </si>
  <si>
    <t>BIOLÓGICOS</t>
  </si>
  <si>
    <t>PSICOSOCIAL</t>
  </si>
  <si>
    <t>BIOMECÁNICOS</t>
  </si>
  <si>
    <t>TOTAL 
NORMAS</t>
  </si>
  <si>
    <t>CONTROL DE CAMBIOS</t>
  </si>
  <si>
    <t>TABLA DE SANCIONES</t>
  </si>
  <si>
    <t>OTROS
REQUISITOS
1. Verificar registros documentales de cumplimiento del requisito.
2. Confirmar actualización de procedimientos y formatos relacionados.
3. Revisar trazabilidad de acciones preventivas y correctivas.</t>
  </si>
  <si>
    <t>INDICADOR DE CUMPLIMIENTO LEGAL</t>
  </si>
  <si>
    <t>Formato y forma, Elaborado x Alejandro Valencia Ortiz
Abogado, máster en PRL 18 años de experiencia en el ramo
Reservados todos los derechos. Está prohibido, bajo las sanciones
penales y el resarcimiento civil previstos en las leyes, reproducir, sin la autorización previa por escrito del creador</t>
  </si>
  <si>
    <t>MATRIZ DE REQUISITOS LEGALES SST</t>
  </si>
  <si>
    <t>Resumen de Cumplimiento 2025</t>
  </si>
  <si>
    <t>EVALUACIÓN 2025</t>
  </si>
  <si>
    <t>Valor Máximo</t>
  </si>
  <si>
    <t>Valor Obtenido</t>
  </si>
  <si>
    <t>% 
Cumplimiento</t>
  </si>
  <si>
    <t>Análisis del indicador:</t>
  </si>
  <si>
    <t>CLASIFICADORES</t>
  </si>
  <si>
    <t>Requisitos Generales</t>
  </si>
  <si>
    <t>Biológicos</t>
  </si>
  <si>
    <t>De Seguridad</t>
  </si>
  <si>
    <t>Biomecánicos</t>
  </si>
  <si>
    <t>Físicos</t>
  </si>
  <si>
    <t xml:space="preserve"> Psicosocial</t>
  </si>
  <si>
    <t>Químico</t>
  </si>
  <si>
    <t>TOTAL</t>
  </si>
  <si>
    <t>Resumen de Cumplimiento  2026</t>
  </si>
  <si>
    <t>EVALUACIÓN 2026</t>
  </si>
  <si>
    <t>% Cumplimiento</t>
  </si>
  <si>
    <t>Versión: 
Fecha: 2021</t>
  </si>
  <si>
    <t>CLASIFICACIÓN</t>
  </si>
  <si>
    <t>PLAN DE ACCIÓN</t>
  </si>
  <si>
    <t>RESPONSABLE</t>
  </si>
  <si>
    <t>FECHA</t>
  </si>
  <si>
    <t>TRAZABILIDAD - EVIDENCIA DE CUMPLIMIENTO</t>
  </si>
  <si>
    <t>SUBCLASIFICADOR</t>
  </si>
  <si>
    <t>SG-SST</t>
  </si>
  <si>
    <t>1. ¿Las políticas del SG-SST están alineadas con los derechos fundamentales consagrados en la Constitución Política de 1991 (vida, salud, trabajo digno)?
2. ¿Existen mecanismos formales de participación y consulta de los trabajadores, en coherencia con los principios constitucionales (art. 53 y concordantes)?
3. ¿Se desarrollan procesos de información y capacitación periódica a los trabajadores sobre sus derechos y deberes constitucionales en materia de salud y trabajo (arts. 48, 49 y 95)?
4. ¿Las decisiones de la empresa en materia laboral y de SST respetan el principio de no regresividad en la protección de la salud y el trabajo?
5. ¿Se evidencia la actualización anual de la matriz legal, incluyendo las normas de rango constitucional relevantes y los responsables de su seguimiento?
6. ¿Se divulgan oportunamente los cambios normativos que tengan impacto en los derechos constitucionales relacionados con el trabajo y la seguridad social?
7. ¿Se conservan evidencias documentales que demuestren el cumplimiento de los mandatos constitucionales aplicables al SG-SST?</t>
  </si>
  <si>
    <t xml:space="preserve">Ley 82/1988 Readaptación profesional y empleo de personas inválidas  </t>
  </si>
  <si>
    <t>1. ¿La empresa ha identificado y documentado en la matriz legal las obligaciones derivadas de Ley 82/1988 Readaptación profesional y empleo de personas inválidas y su relación con el SG-SST?
2. ¿Las políticas, procedimientos y programas del SG-SST incorporan de forma explícita los lineamientos establecidos en Ley 82/1988 Readaptación profesional y empleo de personas inválidas?
3. ¿Existe evidencia documental (actas, comunicaciones, registros, contratos, entre otros) que demuestre la aplicación de Ley 82/1988 Readaptación profesional y empleo de personas inválidas en la organización?
4. ¿Se ha socializado con trabajadores, líderes y responsables del SG-SST el contenido y alcance de Ley 82/1988 Readaptación profesional y empleo de personas inválidas y sus implicaciones en seguridad y salud en el trabajo?
5. ¿Se realiza seguimiento periódico al cumplimiento de Ley 82/1988 Readaptación profesional y empleo de personas inválidas, dejando soportes de las revisiones y acciones de mejora cuando se identifican brechas?
6. ¿Los cambios o reformas a Ley 82/1988 Readaptación profesional y empleo de personas inválidas se registran oportunamente en la matriz legal y se comunican a los procesos impactados?</t>
  </si>
  <si>
    <t>Decreto 2167/1969 Readaptación profesional y empleo de personas inválidas</t>
  </si>
  <si>
    <t>1. ¿El SG-SST incorpora los requisitos establecidos en Decreto 2167/1969 Readaptación profesional y empleo de personas inválidas dentro de sus procedimientos, estándares y controles operativos?
2. ¿Se cuenta con documentación actualizada (procedimientos, instructivos, protocolos) que evidencie la implementación de lo definido en Decreto 2167/1969 Readaptación profesional y empleo de personas inválidas?
3. ¿Se verifica de manera periódica el cumplimiento de Decreto 2167/1969 Readaptación profesional y empleo de personas inválidas en auditorías internas, inspecciones o revisiones de la matriz legal?
4. ¿Los responsables de cada proceso conocen las obligaciones derivadas de Decreto 2167/1969 Readaptación profesional y empleo de personas inválidas que les aplican y cuentan con los recursos para cumplirlas?
5. ¿Se conservan registros (informes, actas, listas de verificación, reportes) que demuestren la aplicación práctica de Decreto 2167/1969 Readaptación profesional y empleo de personas inválidas en la empresa?
6. ¿Las actualizaciones o derogatorias relacionadas con Decreto 2167/1969 Readaptación profesional y empleo de personas inválidas se reflejan oportunamente en la matriz legal y en los documentos del SG-SST?</t>
  </si>
  <si>
    <t xml:space="preserve">Ley 9a/79 Después del art. 80  Decisión 584 de 2004 (Art. 1-35). </t>
  </si>
  <si>
    <t>1. ¿La empresa ha identificado y documentado en la matriz legal las obligaciones derivadas de Ley 9a/79 Después del art. 80 Decisión 584 de 2004 (Art. 1-35). y su relación con el SG-SST?
2. ¿Las políticas, procedimientos y programas del SG-SST incorporan de forma explícita los lineamientos establecidos en Ley 9a/79 Después del art. 80 Decisión 584 de 2004 (Art. 1-35).?
3. ¿Existe evidencia documental (actas, comunicaciones, registros, contratos, entre otros) que demuestre la aplicación de Ley 9a/79 Después del art. 80 Decisión 584 de 2004 (Art. 1-35). en la organización?
4. ¿Se ha socializado con trabajadores, líderes y responsables del SG-SST el contenido y alcance de Ley 9a/79 Después del art. 80 Decisión 584 de 2004 (Art. 1-35). y sus implicaciones en seguridad y salud en el trabajo?
5. ¿Se realiza seguimiento periódico al cumplimiento de Ley 9a/79 Después del art. 80 Decisión 584 de 2004 (Art. 1-35)., dejando soportes de las revisiones y acciones de mejora cuando se identifican brechas?
6. ¿Los cambios o reformas a Ley 9a/79 Después del art. 80 Decisión 584 de 2004 (Art. 1-35). se registran oportunamente en la matriz legal y se comunican a los procesos impactados?</t>
  </si>
  <si>
    <t xml:space="preserve">Decreto 614 de 1984 (Art. 24-31). Decreto 1295 de 1994 ( Art. 25, 56). </t>
  </si>
  <si>
    <t>1. ¿El SG-SST incorpora los requisitos establecidos en Decreto 614 de 1984 (Art. 24-31). Decreto 1295 de 1994 ( Art. 25, 56). dentro de sus procedimientos, estándares y controles operativos?
2. ¿Se cuenta con documentación actualizada (procedimientos, instructivos, protocolos) que evidencie la implementación de lo definido en Decreto 614 de 1984 (Art. 24-31). Decreto 1295 de 1994 ( Art. 25, 56).?
3. ¿Se verifica de manera periódica el cumplimiento de Decreto 614 de 1984 (Art. 24-31). Decreto 1295 de 1994 ( Art. 25, 56). en auditorías internas, inspecciones o revisiones de la matriz legal?
4. ¿Los responsables de cada proceso conocen las obligaciones derivadas de Decreto 614 de 1984 (Art. 24-31). Decreto 1295 de 1994 ( Art. 25, 56). que les aplican y cuentan con los recursos para cumplirlas?
5. ¿Se conservan registros (informes, actas, listas de verificación, reportes) que demuestren la aplicación práctica de Decreto 614 de 1984 (Art. 24-31). Decreto 1295 de 1994 ( Art. 25, 56). en la empresa?
6. ¿Las actualizaciones o derogatorias relacionadas con Decreto 614 de 1984 (Art. 24-31). Decreto 1295 de 1994 ( Art. 25, 56). se reflejan oportunamente en la matriz legal y en los documentos del SG-SST?</t>
  </si>
  <si>
    <t>Circular unificada de 2004 ( No. A3, A6. B3)</t>
  </si>
  <si>
    <t>1. ¿La empresa conoce y ha analizado los lineamientos impartidos en Circular unificada de 2004 ( No. A3, A6. B3) frente a su actividad y condiciones de trabajo?
2. ¿Se han incorporado en los procedimientos internos las orientaciones y criterios definidos en Circular unificada de 2004 ( No. A3, A6. B3)?
3. ¿Existe evidencia de comunicación interna (correos, circulares, actas) sobre el contenido de Circular unificada de 2004 ( No. A3, A6. B3) a las áreas responsables?
4. ¿Se verifica en auditorías o revisiones internas el cumplimiento de las instrucciones dadas en Circular unificada de 2004 ( No. A3, A6. B3)?
5. ¿Los cambios o nuevas circulares que complementan o sustituyen a Circular unificada de 2004 ( No. A3, A6. B3) se actualizan oportunamente en la matriz legal?
6. ¿Se conservan registros de las decisiones tomadas a partir de Circular unificada de 2004 ( No. A3, A6. B3) en relación con el SG-SST?</t>
  </si>
  <si>
    <t>Ley 378/97 aprueba el convenio 161 sobre servicios de salud en la empresa</t>
  </si>
  <si>
    <t>1. ¿La empresa ha identificado y documentado en la matriz legal las obligaciones derivadas de Ley 378/97 aprueba el convenio 161 sobre servicios de salud en la empresa y su relación con el SG-SST?
2. ¿Las políticas, procedimientos y programas del SG-SST incorporan de forma explícita los lineamientos establecidos en Ley 378/97 aprueba el convenio 161 sobre servicios de salud en la empresa?
3. ¿Existe evidencia documental (actas, comunicaciones, registros, contratos, entre otros) que demuestre la aplicación de Ley 378/97 aprueba el convenio 161 sobre servicios de salud en la empresa en la organización?
4. ¿Se ha socializado con trabajadores, líderes y responsables del SG-SST el contenido y alcance de Ley 378/97 aprueba el convenio 161 sobre servicios de salud en la empresa y sus implicaciones en seguridad y salud en el trabajo?
5. ¿Se realiza seguimiento periódico al cumplimiento de Ley 378/97 aprueba el convenio 161 sobre servicios de salud en la empresa, dejando soportes de las revisiones y acciones de mejora cuando se identifican brechas?
6. ¿Los cambios o reformas a Ley 378/97 aprueba el convenio 161 sobre servicios de salud en la empresa se registran oportunamente en la matriz legal y se comunican a los procesos impactados?</t>
  </si>
  <si>
    <t>Ley 1562/12 art. 1 define Programa de S.O como un SG</t>
  </si>
  <si>
    <t>1. ¿La empresa ha identificado y documentado en la matriz legal las obligaciones derivadas de Ley 1562/12 art. 1 define Programa de S.O como un SG y su relación con el SG-SST?
2. ¿Las políticas, procedimientos y programas del SG-SST incorporan de forma explícita los lineamientos establecidos en Ley 1562/12 art. 1 define Programa de S.O como un SG?
3. ¿Existe evidencia documental (actas, comunicaciones, registros, contratos, entre otros) que demuestre la aplicación de Ley 1562/12 art. 1 define Programa de S.O como un SG en la organización?
4. ¿Se ha socializado con trabajadores, líderes y responsables del SG-SST el contenido y alcance de Ley 1562/12 art. 1 define Programa de S.O como un SG y sus implicaciones en seguridad y salud en el trabajo?
5. ¿Se realiza seguimiento periódico al cumplimiento de Ley 1562/12 art. 1 define Programa de S.O como un SG, dejando soportes de las revisiones y acciones de mejora cuando se identifican brechas?
6. ¿Los cambios o reformas a Ley 1562/12 art. 1 define Programa de S.O como un SG se registran oportunamente en la matriz legal y se comunican a los procesos impactados?</t>
  </si>
  <si>
    <t>Resolución 6045/2014 Por la cual se adopta el PD  de SST 2013-2021</t>
  </si>
  <si>
    <t>1. ¿La empresa ha identificado los requisitos específicos de Resolución 6045/2014 Por la cual se adopta el PD de SST 2013-2021 que aplican a su actividad económica y tamaño?
2. ¿Se dispone de procedimientos, instructivos o formatos que permitan cumplir con las exigencias técnicas y administrativas de Resolución 6045/2014 Por la cual se adopta el PD de SST 2013-2021?
3. ¿Existen registros (informes, actas, listados, certificados, reportes en plataformas) que evidencien el cumplimiento de Resolución 6045/2014 Por la cual se adopta el PD de SST 2013-2021?
4. ¿Los responsables del SG-SST realizan seguimiento periódico a los ítems de Resolución 6045/2014 Por la cual se adopta el PD de SST 2013-2021 incluidos en la matriz legal y documentan los resultados?
5. ¿Se han comunicado los requisitos de Resolución 6045/2014 Por la cual se adopta el PD de SST 2013-2021 a los trabajadores, contratistas y proveedores que se ven impactados por esta norma?
6. ¿Las no conformidades asociadas al cumplimiento de Resolución 6045/2014 Por la cual se adopta el PD de SST 2013-2021 generan acciones correctivas o de mejora con responsables y fechas definidas?</t>
  </si>
  <si>
    <t>Ley 909/2004 Protección a las personas con algún tipo de discapacidad</t>
  </si>
  <si>
    <t>1. ¿La empresa ha identificado y documentado en la matriz legal las obligaciones derivadas de Ley 909/2004 Protección a las personas con algún tipo de discapacidad y su relación con el SG-SST?
2. ¿Las políticas, procedimientos y programas del SG-SST incorporan de forma explícita los lineamientos establecidos en Ley 909/2004 Protección a las personas con algún tipo de discapacidad?
3. ¿Existe evidencia documental (actas, comunicaciones, registros, contratos, entre otros) que demuestre la aplicación de Ley 909/2004 Protección a las personas con algún tipo de discapacidad en la organización?
4. ¿Se ha socializado con trabajadores, líderes y responsables del SG-SST el contenido y alcance de Ley 909/2004 Protección a las personas con algún tipo de discapacidad y sus implicaciones en seguridad y salud en el trabajo?
5. ¿Se realiza seguimiento periódico al cumplimiento de Ley 909/2004 Protección a las personas con algún tipo de discapacidad, dejando soportes de las revisiones y acciones de mejora cuando se identifican brechas?
6. ¿Los cambios o reformas a Ley 909/2004 Protección a las personas con algún tipo de discapacidad se registran oportunamente en la matriz legal y se comunican a los procesos impactados?</t>
  </si>
  <si>
    <t>Ley 982/2005 Oportunidades para las personas sordas y sordociegas</t>
  </si>
  <si>
    <t>1. ¿La empresa ha identificado y documentado en la matriz legal las obligaciones derivadas de Ley 982/2005 Oportunidades para las personas sordas y sordociegas y su relación con el SG-SST?
2. ¿Las políticas, procedimientos y programas del SG-SST incorporan de forma explícita los lineamientos establecidos en Ley 982/2005 Oportunidades para las personas sordas y sordociegas?
3. ¿Existe evidencia documental (actas, comunicaciones, registros, contratos, entre otros) que demuestre la aplicación de Ley 982/2005 Oportunidades para las personas sordas y sordociegas en la organización?
4. ¿Se ha socializado con trabajadores, líderes y responsables del SG-SST el contenido y alcance de Ley 982/2005 Oportunidades para las personas sordas y sordociegas y sus implicaciones en seguridad y salud en el trabajo?
5. ¿Se realiza seguimiento periódico al cumplimiento de Ley 982/2005 Oportunidades para las personas sordas y sordociegas, dejando soportes de las revisiones y acciones de mejora cuando se identifican brechas?
6. ¿Los cambios o reformas a Ley 982/2005 Oportunidades para las personas sordas y sordociegas se registran oportunamente en la matriz legal y se comunican a los procesos impactados?</t>
  </si>
  <si>
    <t>Ley 1346/2009 derechos de las personas con discapacidad</t>
  </si>
  <si>
    <t>1. ¿La empresa ha identificado y documentado en la matriz legal las obligaciones derivadas de Ley 1346/2009 derechos de las personas con discapacidad y su relación con el SG-SST?
2. ¿Las políticas, procedimientos y programas del SG-SST incorporan de forma explícita los lineamientos establecidos en Ley 1346/2009 derechos de las personas con discapacidad?
3. ¿Existe evidencia documental (actas, comunicaciones, registros, contratos, entre otros) que demuestre la aplicación de Ley 1346/2009 derechos de las personas con discapacidad en la organización?
4. ¿Se ha socializado con trabajadores, líderes y responsables del SG-SST el contenido y alcance de Ley 1346/2009 derechos de las personas con discapacidad y sus implicaciones en seguridad y salud en el trabajo?
5. ¿Se realiza seguimiento periódico al cumplimiento de Ley 1346/2009 derechos de las personas con discapacidad, dejando soportes de las revisiones y acciones de mejora cuando se identifican brechas?
6. ¿Los cambios o reformas a Ley 1346/2009 derechos de las personas con discapacidad se registran oportunamente en la matriz legal y se comunican a los procesos impactados?</t>
  </si>
  <si>
    <t>Decreto. 171/2016 Ampliación del plazo hasta el  31/01/2017 para el SGSST</t>
  </si>
  <si>
    <t>1. ¿El SG-SST incorpora los requisitos establecidos en Decreto. 171/2016 Ampliación del plazo hasta el 31/01/2017 para el SGSST dentro de sus procedimientos, estándares y controles operativos?
2. ¿Se cuenta con documentación actualizada (procedimientos, instructivos, protocolos) que evidencie la implementación de lo definido en Decreto. 171/2016 Ampliación del plazo hasta el 31/01/2017 para el SGSST?
3. ¿Se verifica de manera periódica el cumplimiento de Decreto. 171/2016 Ampliación del plazo hasta el 31/01/2017 para el SGSST en auditorías internas, inspecciones o revisiones de la matriz legal?
4. ¿Los responsables de cada proceso conocen las obligaciones derivadas de Decreto. 171/2016 Ampliación del plazo hasta el 31/01/2017 para el SGSST que les aplican y cuentan con los recursos para cumplirlas?
5. ¿Se conservan registros (informes, actas, listas de verificación, reportes) que demuestren la aplicación práctica de Decreto. 171/2016 Ampliación del plazo hasta el 31/01/2017 para el SGSST en la empresa?
6. ¿Las actualizaciones o derogatorias relacionadas con Decreto. 171/2016 Ampliación del plazo hasta el 31/01/2017 para el SGSST se reflejan oportunamente en la matriz legal y en los documentos del SG-SST?</t>
  </si>
  <si>
    <t>Decreto 052  del 12/01/ 2017 prorrogó el plazo para el SGSST hasta el 1° de junio del 2017</t>
  </si>
  <si>
    <t>1. ¿El SG-SST incorpora los requisitos establecidos en Decreto 052 del 12/01/ 2017 prorrogó el plazo para el SGSST hasta el 1° de junio del 2017 dentro de sus procedimientos, estándares y controles operativos?
2. ¿Se cuenta con documentación actualizada (procedimientos, instructivos, protocolos) que evidencie la implementación de lo definido en Decreto 052 del 12/01/ 2017 prorrogó el plazo para el SGSST hasta el 1° de junio del 2017?
3. ¿Se verifica de manera periódica el cumplimiento de Decreto 052 del 12/01/ 2017 prorrogó el plazo para el SGSST hasta el 1° de junio del 2017 en auditorías internas, inspecciones o revisiones de la matriz legal?
4. ¿Los responsables de cada proceso conocen las obligaciones derivadas de Decreto 052 del 12/01/ 2017 prorrogó el plazo para el SGSST hasta el 1° de junio del 2017 que les aplican y cuentan con los recursos para cumplirlas?
5. ¿Se conservan registros (informes, actas, listas de verificación, reportes) que demuestren la aplicación práctica de Decreto 052 del 12/01/ 2017 prorrogó el plazo para el SGSST hasta el 1° de junio del 2017 en la empresa?
6. ¿Las actualizaciones o derogatorias relacionadas con Decreto 052 del 12/01/ 2017 prorrogó el plazo para el SGSST hasta el 1° de junio del 2017 se reflejan oportunamente en la matriz legal y en los documentos del SG-SST?</t>
  </si>
  <si>
    <t>Decreto 2106 22/11/2019  suprime, reforma trámites y procedimientos: art. 108 Supresión de la inscripción de empresas de alto riesgo que exigía El artículo 64 del Decreto Ley 1295  Ley 1355 de 2009 Art. 5 Páusas activas</t>
  </si>
  <si>
    <t>1. ¿El SG-SST incorpora los requisitos establecidos en Decreto 2106 22/11/2019 suprime, reforma trámites y procedimientos: art. 108 Supresión de la inscripción de empresas de alto riesgo que exigía El artículo 64 del Decreto Ley 1295 Ley 1355 de 2009 Art. 5 Páusas activas dentro de sus procedimientos, estándares y controles operativos?
2. ¿Se cuenta con documentación actualizada (procedimientos, instructivos, protocolos) que evidencie la implementación de lo definido en Decreto 2106 22/11/2019 suprime, reforma trámites y procedimientos: art. 108 Supresión de la inscripción de empresas de alto riesgo que exigía El artículo 64 del Decreto Ley 1295 Ley 1355 de 2009 Art. 5 Páusas activas?
3. ¿Se verifica de manera periódica el cumplimiento de Decreto 2106 22/11/2019 suprime, reforma trámites y procedimientos: art. 108 Supresión de la inscripción de empresas de alto riesgo que exigía El artículo 64 del Decreto Ley 1295 Ley 1355 de 2009 Art. 5 Páusas activas en auditorías internas, inspecciones o revisiones de la matriz legal?
4. ¿Los responsables de cada proceso conocen las obligaciones derivadas de Decreto 2106 22/11/2019 suprime, reforma trámites y procedimientos: art. 108 Supresión de la inscripción de empresas de alto riesgo que exigía El artículo 64 del Decreto Ley 1295 Ley 1355 de 2009 Art. 5 Páusas activas que les aplican y cuentan con los recursos para cumplirlas?
5. ¿Se conservan registros (informes, actas, listas de verificación, reportes) que demuestren la aplicación práctica de Decreto 2106 22/11/2019 suprime, reforma trámites y procedimientos: art. 108 Supresión de la inscripción de empresas de alto riesgo que exigía El artículo 64 del Decreto Ley 1295 Ley 1355 de 2009 Art. 5 Páusas activas en la empresa?
6. ¿Las actualizaciones o derogatorias relacionadas con Decreto 2106 22/11/2019 suprime, reforma trámites y procedimientos: art. 108 Supresión de la inscripción de empresas de alto riesgo que exigía El artículo 64 del Decreto Ley 1295 Ley 1355 de 2009 Art. 5 Páusas activas se reflejan oportunamente en la matriz legal y en los documentos del SG-SST?</t>
  </si>
  <si>
    <t>Decreto 539 de 2022 Por el cual se expide el Reglamento de Higiene y Seguridad en las Labores Mineras a Cielo Abierto arts 6, 7,8, 19</t>
  </si>
  <si>
    <t>1. ¿El SG-SST incorpora los requisitos establecidos en Decreto 539 de 2022 Por el cual se expide el Reglamento de Higiene y Seguridad en las Labores Mineras a Cielo Abierto arts 6, 7,8, 19 dentro de sus procedimientos, estándares y controles operativos?
2. ¿Se cuenta con documentación actualizada (procedimientos, instructivos, protocolos) que evidencie la implementación de lo definido en Decreto 539 de 2022 Por el cual se expide el Reglamento de Higiene y Seguridad en las Labores Mineras a Cielo Abierto arts 6, 7,8, 19?
3. ¿Se verifica de manera periódica el cumplimiento de Decreto 539 de 2022 Por el cual se expide el Reglamento de Higiene y Seguridad en las Labores Mineras a Cielo Abierto arts 6, 7,8, 19 en auditorías internas, inspecciones o revisiones de la matriz legal?
4. ¿Los responsables de cada proceso conocen las obligaciones derivadas de Decreto 539 de 2022 Por el cual se expide el Reglamento de Higiene y Seguridad en las Labores Mineras a Cielo Abierto arts 6, 7,8, 19 que les aplican y cuentan con los recursos para cumplirlas?
5. ¿Se conservan registros (informes, actas, listas de verificación, reportes) que demuestren la aplicación práctica de Decreto 539 de 2022 Por el cual se expide el Reglamento de Higiene y Seguridad en las Labores Mineras a Cielo Abierto arts 6, 7,8, 19 en la empresa?
6. ¿Las actualizaciones o derogatorias relacionadas con Decreto 539 de 2022 Por el cual se expide el Reglamento de Higiene y Seguridad en las Labores Mineras a Cielo Abierto arts 6, 7,8, 19 se reflejan oportunamente en la matriz legal y en los documentos del SG-SST?</t>
  </si>
  <si>
    <t>Circular 71 del 30-11-2020 indica el deber de reportar los  planes de mejoramiento  de los años 2019 y 2020</t>
  </si>
  <si>
    <t>1. ¿La empresa conoce y ha analizado los lineamientos impartidos en Circular 71 del 30-11-2020 indica el deber de reportar los planes de mejoramiento de los años 2019 y 2020 frente a su actividad y condiciones de trabajo?
2. ¿Se han incorporado en los procedimientos internos las orientaciones y criterios definidos en Circular 71 del 30-11-2020 indica el deber de reportar los planes de mejoramiento de los años 2019 y 2020?
3. ¿Existe evidencia de comunicación interna (correos, circulares, actas) sobre el contenido de Circular 71 del 30-11-2020 indica el deber de reportar los planes de mejoramiento de los años 2019 y 2020 a las áreas responsables?
4. ¿Se verifica en auditorías o revisiones internas el cumplimiento de las instrucciones dadas en Circular 71 del 30-11-2020 indica el deber de reportar los planes de mejoramiento de los años 2019 y 2020?
5. ¿Los cambios o nuevas circulares que complementan o sustituyen a Circular 71 del 30-11-2020 indica el deber de reportar los planes de mejoramiento de los años 2019 y 2020 se actualizan oportunamente en la matriz legal?
6. ¿Se conservan registros de las decisiones tomadas a partir de Circular 71 del 30-11-2020 indica el deber de reportar los planes de mejoramiento de los años 2019 y 2020 en relación con el SG-SST?</t>
  </si>
  <si>
    <t>Decreto 768 del 17-05-2022 Min trabajo actualiza Tabla de actividades económicas, deroga 1607, R. 3029 del 27-07-2022 Min trabajo Crea grupo de inspección,</t>
  </si>
  <si>
    <t>1. ¿El SG-SST incorpora los requisitos establecidos en Decreto 768 del 17-05-2022 Min trabajo actualiza Tabla de actividades económicas, deroga 1607, R. 3029 del 27-07-2022 Min trabajo Crea grupo de inspección, dentro de sus procedimientos, estándares y controles operativos?
2. ¿Se cuenta con documentación actualizada (procedimientos, instructivos, protocolos) que evidencie la implementación de lo definido en Decreto 768 del 17-05-2022 Min trabajo actualiza Tabla de actividades económicas, deroga 1607, R. 3029 del 27-07-2022 Min trabajo Crea grupo de inspección,?
3. ¿Se verifica de manera periódica el cumplimiento de Decreto 768 del 17-05-2022 Min trabajo actualiza Tabla de actividades económicas, deroga 1607, R. 3029 del 27-07-2022 Min trabajo Crea grupo de inspección, en auditorías internas, inspecciones o revisiones de la matriz legal?
4. ¿Los responsables de cada proceso conocen las obligaciones derivadas de Decreto 768 del 17-05-2022 Min trabajo actualiza Tabla de actividades económicas, deroga 1607, R. 3029 del 27-07-2022 Min trabajo Crea grupo de inspección, que les aplican y cuentan con los recursos para cumplirlas?
5. ¿Se conservan registros (informes, actas, listas de verificación, reportes) que demuestren la aplicación práctica de Decreto 768 del 17-05-2022 Min trabajo actualiza Tabla de actividades económicas, deroga 1607, R. 3029 del 27-07-2022 Min trabajo Crea grupo de inspección, en la empresa?
6. ¿Las actualizaciones o derogatorias relacionadas con Decreto 768 del 17-05-2022 Min trabajo actualiza Tabla de actividades económicas, deroga 1607, R. 3029 del 27-07-2022 Min trabajo Crea grupo de inspección, se reflejan oportunamente en la matriz legal y en los documentos del SG-SST?</t>
  </si>
  <si>
    <t>Resolución 3050 del 28-07- 2022. Min trabajo adopta manual de rehabilitación integral art6</t>
  </si>
  <si>
    <t>1. ¿La empresa ha identificado los requisitos específicos de Resolución 3050 del 28-07- 2022. Min trabajo adopta manual de rehabilitación integral art6 que aplican a su actividad económica y tamaño?
2. ¿Se dispone de procedimientos, instructivos o formatos que permitan cumplir con las exigencias técnicas y administrativas de Resolución 3050 del 28-07- 2022. Min trabajo adopta manual de rehabilitación integral art6?
3. ¿Existen registros (informes, actas, listados, certificados, reportes en plataformas) que evidencien el cumplimiento de Resolución 3050 del 28-07- 2022. Min trabajo adopta manual de rehabilitación integral art6?
4. ¿Los responsables del SG-SST realizan seguimiento periódico a los ítems de Resolución 3050 del 28-07- 2022. Min trabajo adopta manual de rehabilitación integral art6 incluidos en la matriz legal y documentan los resultados?
5. ¿Se han comunicado los requisitos de Resolución 3050 del 28-07- 2022. Min trabajo adopta manual de rehabilitación integral art6 a los trabajadores, contratistas y proveedores que se ven impactados por esta norma?
6. ¿Las no conformidades asociadas al cumplimiento de Resolución 3050 del 28-07- 2022. Min trabajo adopta manual de rehabilitación integral art6 generan acciones correctivas o de mejora con responsables y fechas definidas?</t>
  </si>
  <si>
    <t>Resolución 1151-del 1-07-2022 Modifica la 754 Por la cual se modifica la R 754 de 2021 en el sentido de sustituir su Anexo Técnico No. 1</t>
  </si>
  <si>
    <t>1. ¿La empresa ha identificado los requisitos específicos de Resolución 1151-del 1-07-2022 Modifica la 754 Por la cual se modifica la R 754 de 2021 en el sentido de sustituir su Anexo Técnico No. 1 que aplican a su actividad económica y tamaño?
2. ¿Se dispone de procedimientos, instructivos o formatos que permitan cumplir con las exigencias técnicas y administrativas de Resolución 1151-del 1-07-2022 Modifica la 754 Por la cual se modifica la R 754 de 2021 en el sentido de sustituir su Anexo Técnico No. 1?
3. ¿Existen registros (informes, actas, listados, certificados, reportes en plataformas) que evidencien el cumplimiento de Resolución 1151-del 1-07-2022 Modifica la 754 Por la cual se modifica la R 754 de 2021 en el sentido de sustituir su Anexo Técnico No. 1?
4. ¿Los responsables del SG-SST realizan seguimiento periódico a los ítems de Resolución 1151-del 1-07-2022 Modifica la 754 Por la cual se modifica la R 754 de 2021 en el sentido de sustituir su Anexo Técnico No. 1 incluidos en la matriz legal y documentan los resultados?
5. ¿Se han comunicado los requisitos de Resolución 1151-del 1-07-2022 Modifica la 754 Por la cual se modifica la R 754 de 2021 en el sentido de sustituir su Anexo Técnico No. 1 a los trabajadores, contratistas y proveedores que se ven impactados por esta norma?
6. ¿Las no conformidades asociadas al cumplimiento de Resolución 1151-del 1-07-2022 Modifica la 754 Por la cual se modifica la R 754 de 2021 en el sentido de sustituir su Anexo Técnico No. 1 generan acciones correctivas o de mejora con responsables y fechas definidas?</t>
  </si>
  <si>
    <t>Resolución 754 del 31-05.2021 Minsalud Deroga la resolución 4502 Requisitos Licencia SST</t>
  </si>
  <si>
    <t>1. ¿La empresa ha identificado los requisitos específicos de Resolución 754 del 31-05.2021 Minsalud Deroga la resolución 4502 Requisitos Licencia SST que aplican a su actividad económica y tamaño?
2. ¿Se dispone de procedimientos, instructivos o formatos que permitan cumplir con las exigencias técnicas y administrativas de Resolución 754 del 31-05.2021 Minsalud Deroga la resolución 4502 Requisitos Licencia SST?
3. ¿Existen registros (informes, actas, listados, certificados, reportes en plataformas) que evidencien el cumplimiento de Resolución 754 del 31-05.2021 Minsalud Deroga la resolución 4502 Requisitos Licencia SST?
4. ¿Los responsables del SG-SST realizan seguimiento periódico a los ítems de Resolución 754 del 31-05.2021 Minsalud Deroga la resolución 4502 Requisitos Licencia SST incluidos en la matriz legal y documentan los resultados?
5. ¿Se han comunicado los requisitos de Resolución 754 del 31-05.2021 Minsalud Deroga la resolución 4502 Requisitos Licencia SST a los trabajadores, contratistas y proveedores que se ven impactados por esta norma?
6. ¿Las no conformidades asociadas al cumplimiento de Resolución 754 del 31-05.2021 Minsalud Deroga la resolución 4502 Requisitos Licencia SST generan acciones correctivas o de mejora con responsables y fechas definidas?</t>
  </si>
  <si>
    <t>Decreto 768 del 17-05-2022 Min trabajo actualiza Tabla de actividades económicas, deroga 1607</t>
  </si>
  <si>
    <t>1. ¿El SG-SST incorpora los requisitos establecidos en Decreto 768 del 17-05-2022 Min trabajo actualiza Tabla de actividades económicas, deroga 1607 dentro de sus procedimientos, estándares y controles operativos?
2. ¿Se cuenta con documentación actualizada (procedimientos, instructivos, protocolos) que evidencie la implementación de lo definido en Decreto 768 del 17-05-2022 Min trabajo actualiza Tabla de actividades económicas, deroga 1607?
3. ¿Se verifica de manera periódica el cumplimiento de Decreto 768 del 17-05-2022 Min trabajo actualiza Tabla de actividades económicas, deroga 1607 en auditorías internas, inspecciones o revisiones de la matriz legal?
4. ¿Los responsables de cada proceso conocen las obligaciones derivadas de Decreto 768 del 17-05-2022 Min trabajo actualiza Tabla de actividades económicas, deroga 1607 que les aplican y cuentan con los recursos para cumplirlas?
5. ¿Se conservan registros (informes, actas, listas de verificación, reportes) que demuestren la aplicación práctica de Decreto 768 del 17-05-2022 Min trabajo actualiza Tabla de actividades económicas, deroga 1607 en la empresa?
6. ¿Las actualizaciones o derogatorias relacionadas con Decreto 768 del 17-05-2022 Min trabajo actualiza Tabla de actividades económicas, deroga 1607 se reflejan oportunamente en la matriz legal y en los documentos del SG-SST?</t>
  </si>
  <si>
    <t>R. 3029 del 27-07-2022 Min trabajo Crea grupo de inspección</t>
  </si>
  <si>
    <t>1. ¿La empresa ha registrado en la matriz legal las obligaciones derivadas de R. 3029 del 27-07-2022 Min trabajo Crea grupo de inspección y ha definido su aplicabilidad?
2. ¿Los procedimientos y controles del SG-SST contemplan lo establecido en R. 3029 del 27-07-2022 Min trabajo Crea grupo de inspección para las actividades y procesos de la organización?
3. ¿Existe evidencia documental (registros, informes, actas, comunicaciones) que demuestre la aplicación de R. 3029 del 27-07-2022 Min trabajo Crea grupo de inspección?
4. ¿Se ha socializado el contenido de R. 3029 del 27-07-2022 Min trabajo Crea grupo de inspección con los responsables de cada proceso y con los trabajadores cuando es pertinente?
5. ¿Se revisa periódicamente el cumplimiento de R. 3029 del 27-07-2022 Min trabajo Crea grupo de inspección y se generan planes de acción cuando se identifican desviaciones?
6. ¿La matriz legal se mantiene actualizada frente a modificaciones, derogatorias o nuevas disposiciones relacionadas con R. 3029 del 27-07-2022 Min trabajo Crea grupo de inspección?</t>
  </si>
  <si>
    <t xml:space="preserve">Resolución 3077 del 29-07-2022 Min trabajo  Plan NAL SST art 2 y 3 </t>
  </si>
  <si>
    <t>1. ¿La empresa ha identificado los requisitos específicos de Resolución 3077 del 29-07-2022 Min trabajo Plan NAL SST art 2 y 3 que aplican a su actividad económica y tamaño?
2. ¿Se dispone de procedimientos, instructivos o formatos que permitan cumplir con las exigencias técnicas y administrativas de Resolución 3077 del 29-07-2022 Min trabajo Plan NAL SST art 2 y 3?
3. ¿Existen registros (informes, actas, listados, certificados, reportes en plataformas) que evidencien el cumplimiento de Resolución 3077 del 29-07-2022 Min trabajo Plan NAL SST art 2 y 3?
4. ¿Los responsables del SG-SST realizan seguimiento periódico a los ítems de Resolución 3077 del 29-07-2022 Min trabajo Plan NAL SST art 2 y 3 incluidos en la matriz legal y documentan los resultados?
5. ¿Se han comunicado los requisitos de Resolución 3077 del 29-07-2022 Min trabajo Plan NAL SST art 2 y 3 a los trabajadores, contratistas y proveedores que se ven impactados por esta norma?
6. ¿Las no conformidades asociadas al cumplimiento de Resolución 3077 del 29-07-2022 Min trabajo Plan NAL SST art 2 y 3 generan acciones correctivas o de mejora con responsables y fechas definidas?</t>
  </si>
  <si>
    <t>Circular 37 del 29-07-2022 Prueba piloto recolección de datos del SG-RL, Resolución 2851 del 22-08-2023 revoca la Resolución 3032 Guía act de alto riesgos</t>
  </si>
  <si>
    <t>1. ¿La empresa conoce y ha analizado los lineamientos impartidos en Circular 37 del 29-07-2022 Prueba piloto recolección de datos del SG-RL, Resolución 2851 del 22-08-2023 revoca la Resolución 3032 Guía act de alto riesgos frente a su actividad y condiciones de trabajo?
2. ¿Se han incorporado en los procedimientos internos las orientaciones y criterios definidos en Circular 37 del 29-07-2022 Prueba piloto recolección de datos del SG-RL, Resolución 2851 del 22-08-2023 revoca la Resolución 3032 Guía act de alto riesgos?
3. ¿Existe evidencia de comunicación interna (correos, circulares, actas) sobre el contenido de Circular 37 del 29-07-2022 Prueba piloto recolección de datos del SG-RL, Resolución 2851 del 22-08-2023 revoca la Resolución 3032 Guía act de alto riesgos a las áreas responsables?
4. ¿Se verifica en auditorías o revisiones internas el cumplimiento de las instrucciones dadas en Circular 37 del 29-07-2022 Prueba piloto recolección de datos del SG-RL, Resolución 2851 del 22-08-2023 revoca la Resolución 3032 Guía act de alto riesgos?
5. ¿Los cambios o nuevas circulares que complementan o sustituyen a Circular 37 del 29-07-2022 Prueba piloto recolección de datos del SG-RL, Resolución 2851 del 22-08-2023 revoca la Resolución 3032 Guía act de alto riesgos se actualizan oportunamente en la matriz legal?
6. ¿Se conservan registros de las decisiones tomadas a partir de Circular 37 del 29-07-2022 Prueba piloto recolección de datos del SG-RL, Resolución 2851 del 22-08-2023 revoca la Resolución 3032 Guía act de alto riesgos en relación con el SG-SST?</t>
  </si>
  <si>
    <t xml:space="preserve"> Resolución 2851 del 22-08-2023 revoca la Resolución 3032 Guía act de alto riesgos</t>
  </si>
  <si>
    <t>1. ¿La empresa ha identificado los requisitos específicos de Resolución 2851 del 22-08-2023 revoca la Resolución 3032 Guía act de alto riesgos que aplican a su actividad económica y tamaño?
2. ¿Se dispone de procedimientos, instructivos o formatos que permitan cumplir con las exigencias técnicas y administrativas de Resolución 2851 del 22-08-2023 revoca la Resolución 3032 Guía act de alto riesgos?
3. ¿Existen registros (informes, actas, listados, certificados, reportes en plataformas) que evidencien el cumplimiento de Resolución 2851 del 22-08-2023 revoca la Resolución 3032 Guía act de alto riesgos?
4. ¿Los responsables del SG-SST realizan seguimiento periódico a los ítems de Resolución 2851 del 22-08-2023 revoca la Resolución 3032 Guía act de alto riesgos incluidos en la matriz legal y documentan los resultados?
5. ¿Se han comunicado los requisitos de Resolución 2851 del 22-08-2023 revoca la Resolución 3032 Guía act de alto riesgos a los trabajadores, contratistas y proveedores que se ven impactados por esta norma?
6. ¿Las no conformidades asociadas al cumplimiento de Resolución 2851 del 22-08-2023 revoca la Resolución 3032 Guía act de alto riesgos generan acciones correctivas o de mejora con responsables y fechas definidas?</t>
  </si>
  <si>
    <t>Decreto 2642 del 30-12-2022 Por el cual se modifica el D. 2555 de 2010 y los Decreto 1072 de 2015, R. 5350 del 30-12-2022 Certificado acreditación del SGSST</t>
  </si>
  <si>
    <t>1. ¿El SG-SST incorpora los requisitos establecidos en Decreto 2642 del 30-12-2022 Por el cual se modifica el D. 2555 de 2010 y los Decreto 1072 de 2015, R. 5350 del 30-12-2022 Certificado acreditación del SGSST dentro de sus procedimientos, estándares y controles operativos?
2. ¿Se cuenta con documentación actualizada (procedimientos, instructivos, protocolos) que evidencie la implementación de lo definido en Decreto 2642 del 30-12-2022 Por el cual se modifica el D. 2555 de 2010 y los Decreto 1072 de 2015, R. 5350 del 30-12-2022 Certificado acreditación del SGSST?
3. ¿Se verifica de manera periódica el cumplimiento de Decreto 2642 del 30-12-2022 Por el cual se modifica el D. 2555 de 2010 y los Decreto 1072 de 2015, R. 5350 del 30-12-2022 Certificado acreditación del SGSST en auditorías internas, inspecciones o revisiones de la matriz legal?
4. ¿Los responsables de cada proceso conocen las obligaciones derivadas de Decreto 2642 del 30-12-2022 Por el cual se modifica el D. 2555 de 2010 y los Decreto 1072 de 2015, R. 5350 del 30-12-2022 Certificado acreditación del SGSST que les aplican y cuentan con los recursos para cumplirlas?
5. ¿Se conservan registros (informes, actas, listas de verificación, reportes) que demuestren la aplicación práctica de Decreto 2642 del 30-12-2022 Por el cual se modifica el D. 2555 de 2010 y los Decreto 1072 de 2015, R. 5350 del 30-12-2022 Certificado acreditación del SGSST en la empresa?
6. ¿Las actualizaciones o derogatorias relacionadas con Decreto 2642 del 30-12-2022 Por el cual se modifica el D. 2555 de 2010 y los Decreto 1072 de 2015, R. 5350 del 30-12-2022 Certificado acreditación del SGSST se reflejan oportunamente en la matriz legal y en los documentos del SG-SST?</t>
  </si>
  <si>
    <t>Circular 021 23-02-2023 Ampliación del plazo de reporte de autoevaluación, Resolución 2851 del 22-08-2023 revoca la R 3032 Guía act de alto riesgos</t>
  </si>
  <si>
    <t>1. ¿La empresa conoce y ha analizado los lineamientos impartidos en Circular 021 23-02-2023 Ampliación del plazo de reporte de autoevaluación, Resolución 2851 del 22-08-2023 revoca la R 3032 Guía act de alto riesgos frente a su actividad y condiciones de trabajo?
2. ¿Se han incorporado en los procedimientos internos las orientaciones y criterios definidos en Circular 021 23-02-2023 Ampliación del plazo de reporte de autoevaluación, Resolución 2851 del 22-08-2023 revoca la R 3032 Guía act de alto riesgos?
3. ¿Existe evidencia de comunicación interna (correos, circulares, actas) sobre el contenido de Circular 021 23-02-2023 Ampliación del plazo de reporte de autoevaluación, Resolución 2851 del 22-08-2023 revoca la R 3032 Guía act de alto riesgos a las áreas responsables?
4. ¿Se verifica en auditorías o revisiones internas el cumplimiento de las instrucciones dadas en Circular 021 23-02-2023 Ampliación del plazo de reporte de autoevaluación, Resolución 2851 del 22-08-2023 revoca la R 3032 Guía act de alto riesgos?
5. ¿Los cambios o nuevas circulares que complementan o sustituyen a Circular 021 23-02-2023 Ampliación del plazo de reporte de autoevaluación, Resolución 2851 del 22-08-2023 revoca la R 3032 Guía act de alto riesgos se actualizan oportunamente en la matriz legal?
6. ¿Se conservan registros de las decisiones tomadas a partir de Circular 021 23-02-2023 Ampliación del plazo de reporte de autoevaluación, Resolución 2851 del 22-08-2023 revoca la R 3032 Guía act de alto riesgos en relación con el SG-SST?</t>
  </si>
  <si>
    <t xml:space="preserve"> Resolución 2851 del 22-08-2023 revoca la R 3032 Guía act de alto riesgos</t>
  </si>
  <si>
    <t>1. ¿La empresa ha identificado los requisitos específicos de Resolución 2851 del 22-08-2023 revoca la R 3032 Guía act de alto riesgos que aplican a su actividad económica y tamaño?
2. ¿Se dispone de procedimientos, instructivos o formatos que permitan cumplir con las exigencias técnicas y administrativas de Resolución 2851 del 22-08-2023 revoca la R 3032 Guía act de alto riesgos?
3. ¿Existen registros (informes, actas, listados, certificados, reportes en plataformas) que evidencien el cumplimiento de Resolución 2851 del 22-08-2023 revoca la R 3032 Guía act de alto riesgos?
4. ¿Los responsables del SG-SST realizan seguimiento periódico a los ítems de Resolución 2851 del 22-08-2023 revoca la R 3032 Guía act de alto riesgos incluidos en la matriz legal y documentan los resultados?
5. ¿Se han comunicado los requisitos de Resolución 2851 del 22-08-2023 revoca la R 3032 Guía act de alto riesgos a los trabajadores, contratistas y proveedores que se ven impactados por esta norma?
6. ¿Las no conformidades asociadas al cumplimiento de Resolución 2851 del 22-08-2023 revoca la R 3032 Guía act de alto riesgos generan acciones correctivas o de mejora con responsables y fechas definidas?</t>
  </si>
  <si>
    <t>Resolución 5137 del 20-11-2024 Min trabajo  adopta una adenda al plan nacional de SST 2022-2031,  Decreto 1527 del 12-12-2024, adopta la Política Pública de Trabajo Digno y Decente.</t>
  </si>
  <si>
    <t>1. ¿La empresa ha identificado los requisitos específicos de Resolución 5137 del 20-11-2024 Min trabajo adopta una adenda al plan nacional de SST 2022-2031, Decreto 1527 del 12-12-2024, adopta la Política Pública de Trabajo Digno y Decente. que aplican a su actividad económica y tamaño?
2. ¿Se dispone de procedimientos, instructivos o formatos que permitan cumplir con las exigencias técnicas y administrativas de Resolución 5137 del 20-11-2024 Min trabajo adopta una adenda al plan nacional de SST 2022-2031, Decreto 1527 del 12-12-2024, adopta la Política Pública de Trabajo Digno y Decente.?
3. ¿Existen registros (informes, actas, listados, certificados, reportes en plataformas) que evidencien el cumplimiento de Resolución 5137 del 20-11-2024 Min trabajo adopta una adenda al plan nacional de SST 2022-2031, Decreto 1527 del 12-12-2024, adopta la Política Pública de Trabajo Digno y Decente.?
4. ¿Los responsables del SG-SST realizan seguimiento periódico a los ítems de Resolución 5137 del 20-11-2024 Min trabajo adopta una adenda al plan nacional de SST 2022-2031, Decreto 1527 del 12-12-2024, adopta la Política Pública de Trabajo Digno y Decente. incluidos en la matriz legal y documentan los resultados?
5. ¿Se han comunicado los requisitos de Resolución 5137 del 20-11-2024 Min trabajo adopta una adenda al plan nacional de SST 2022-2031, Decreto 1527 del 12-12-2024, adopta la Política Pública de Trabajo Digno y Decente. a los trabajadores, contratistas y proveedores que se ven impactados por esta norma?
6. ¿Las no conformidades asociadas al cumplimiento de Resolución 5137 del 20-11-2024 Min trabajo adopta una adenda al plan nacional de SST 2022-2031, Decreto 1527 del 12-12-2024, adopta la Política Pública de Trabajo Digno y Decente. generan acciones correctivas o de mejora con responsables y fechas definidas?</t>
  </si>
  <si>
    <t>Decreto 1527 del 12-12-2024, adopta la Política Pública de Trabajo Digno y Decente.</t>
  </si>
  <si>
    <t>1. ¿El SG-SST incorpora los requisitos establecidos en Decreto 1527 del 12-12-2024, adopta la Política Pública de Trabajo Digno y Decente. dentro de sus procedimientos, estándares y controles operativos?
2. ¿Se cuenta con documentación actualizada (procedimientos, instructivos, protocolos) que evidencie la implementación de lo definido en Decreto 1527 del 12-12-2024, adopta la Política Pública de Trabajo Digno y Decente.?
3. ¿Se verifica de manera periódica el cumplimiento de Decreto 1527 del 12-12-2024, adopta la Política Pública de Trabajo Digno y Decente. en auditorías internas, inspecciones o revisiones de la matriz legal?
4. ¿Los responsables de cada proceso conocen las obligaciones derivadas de Decreto 1527 del 12-12-2024, adopta la Política Pública de Trabajo Digno y Decente. que les aplican y cuentan con los recursos para cumplirlas?
5. ¿Se conservan registros (informes, actas, listas de verificación, reportes) que demuestren la aplicación práctica de Decreto 1527 del 12-12-2024, adopta la Política Pública de Trabajo Digno y Decente. en la empresa?
6. ¿Las actualizaciones o derogatorias relacionadas con Decreto 1527 del 12-12-2024, adopta la Política Pública de Trabajo Digno y Decente. se reflejan oportunamente en la matriz legal y en los documentos del SG-SST?</t>
  </si>
  <si>
    <t>Resolución 6072 del 26-12-2024 Por medio de la cual se establece la aplicación de los criterios de la Corte Constitucional en cuanto a la continuidad de los derechos y garantías de los trabajadores que desarrollan actividades de alto riesgo contemplados en el Decreto número 2090 de 2003, para la pensión especial de vejez Circular No. 09 22-02-2025 Min trabajo Registro anual de EM, autoevaluación,</t>
  </si>
  <si>
    <t>1. ¿La empresa ha identificado los requisitos específicos de Resolución 6072 del 26-12-2024 Por medio de la cual se establece la aplicación de los criterios de la Corte Constitucional en cuanto a la continuidad de los derechos y garantías de los trabajadores que desarrollan actividades de alto riesgo contemplados en el Decreto número 2090 de 2003, para la pensión especial de vejez Circular No. 09 22-02-2025 Min trabajo Registro anual de EM, autoevaluación, que aplican a su actividad económica y tamaño?
2. ¿Se dispone de procedimientos, instructivos o formatos que permitan cumplir con las exigencias técnicas y administrativas de Resolución 6072 del 26-12-2024 Por medio de la cual se establece la aplicación de los criterios de la Corte Constitucional en cuanto a la continuidad de los derechos y garantías de los trabajadores que desarrollan actividades de alto riesgo contemplados en el Decreto número 2090 de 2003, para la pensión especial de vejez Circular No. 09 22-02-2025 Min trabajo Registro anual de EM, autoevaluación,?
3. ¿Existen registros (informes, actas, listados, certificados, reportes en plataformas) que evidencien el cumplimiento de Resolución 6072 del 26-12-2024 Por medio de la cual se establece la aplicación de los criterios de la Corte Constitucional en cuanto a la continuidad de los derechos y garantías de los trabajadores que desarrollan actividades de alto riesgo contemplados en el Decreto número 2090 de 2003, para la pensión especial de vejez Circular No. 09 22-02-2025 Min trabajo Registro anual de EM, autoevaluación,?
4. ¿Los responsables del SG-SST realizan seguimiento periódico a los ítems de Resolución 6072 del 26-12-2024 Por medio de la cual se establece la aplicación de los criterios de la Corte Constitucional en cuanto a la continuidad de los derechos y garantías de los trabajadores que desarrollan actividades de alto riesgo contemplados en el Decreto número 2090 de 2003, para la pensión especial de vejez Circular No. 09 22-02-2025 Min trabajo Registro anual de EM, autoevaluación, incluidos en la matriz legal y documentan los resultados?
5. ¿Se han comunicado los requisitos de Resolución 6072 del 26-12-2024 Por medio de la cual se establece la aplicación de los criterios de la Corte Constitucional en cuanto a la continuidad de los derechos y garantías de los trabajadores que desarrollan actividades de alto riesgo contemplados en el Decreto número 2090 de 2003, para la pensión especial de vejez Circular No. 09 22-02-2025 Min trabajo Registro anual de EM, autoevaluación, a los trabajadores, contratistas y proveedores que se ven impactados por esta norma?
6. ¿Las no conformidades asociadas al cumplimiento de Resolución 6072 del 26-12-2024 Por medio de la cual se establece la aplicación de los criterios de la Corte Constitucional en cuanto a la continuidad de los derechos y garantías de los trabajadores que desarrollan actividades de alto riesgo contemplados en el Decreto número 2090 de 2003, para la pensión especial de vejez Circular No. 09 22-02-2025 Min trabajo Registro anual de EM, autoevaluación, generan acciones correctivas o de mejora con responsables y fechas definidas?</t>
  </si>
  <si>
    <t>Resolución 908 del 15 del 15-05-2025 Minsaludo, Por la cual se establecen los requisitos y el procedimiento para la expedición, renovación y cambios de la licencia de seguridad y salud en el trabajo</t>
  </si>
  <si>
    <t>1. ¿La empresa ha identificado los requisitos específicos de Resolución 908 del 15 del 15-05-2025 Minsaludo, Por la cual se establecen los requisitos y el procedimiento para la expedición, renovación y cambios de la licencia de seguridad y salud en el trabajo que aplican a su actividad económica y tamaño?
2. ¿Se dispone de procedimientos, instructivos o formatos que permitan cumplir con las exigencias técnicas y administrativas de Resolución 908 del 15 del 15-05-2025 Minsaludo, Por la cual se establecen los requisitos y el procedimiento para la expedición, renovación y cambios de la licencia de seguridad y salud en el trabajo?
3. ¿Existen registros (informes, actas, listados, certificados, reportes en plataformas) que evidencien el cumplimiento de Resolución 908 del 15 del 15-05-2025 Minsaludo, Por la cual se establecen los requisitos y el procedimiento para la expedición, renovación y cambios de la licencia de seguridad y salud en el trabajo?
4. ¿Los responsables del SG-SST realizan seguimiento periódico a los ítems de Resolución 908 del 15 del 15-05-2025 Minsaludo, Por la cual se establecen los requisitos y el procedimiento para la expedición, renovación y cambios de la licencia de seguridad y salud en el trabajo incluidos en la matriz legal y documentan los resultados?
5. ¿Se han comunicado los requisitos de Resolución 908 del 15 del 15-05-2025 Minsaludo, Por la cual se establecen los requisitos y el procedimiento para la expedición, renovación y cambios de la licencia de seguridad y salud en el trabajo a los trabajadores, contratistas y proveedores que se ven impactados por esta norma?
6. ¿Las no conformidades asociadas al cumplimiento de Resolución 908 del 15 del 15-05-2025 Minsaludo, Por la cual se establecen los requisitos y el procedimiento para la expedición, renovación y cambios de la licencia de seguridad y salud en el trabajo generan acciones correctivas o de mejora con responsables y fechas definidas?</t>
  </si>
  <si>
    <t>EPP</t>
  </si>
  <si>
    <t>Resolución  2400 del 22-05 de 1979  Art 170-201 Se establecen los requisitos para los elementos de protección personal y la ropa de trabajo.</t>
  </si>
  <si>
    <t>1. ¿La empresa ha identificado los requisitos específicos de Resolución 2400 del 22-05 de 1979 Art 170-201 Se establecen los requisitos para los elementos de protección personal y la ropa de trabajo. que aplican a su actividad económica y tamaño?
2. ¿Se dispone de procedimientos, instructivos o formatos que permitan cumplir con las exigencias técnicas y administrativas de Resolución 2400 del 22-05 de 1979 Art 170-201 Se establecen los requisitos para los elementos de protección personal y la ropa de trabajo.?
3. ¿Existen registros (informes, actas, listados, certificados, reportes en plataformas) que evidencien el cumplimiento de Resolución 2400 del 22-05 de 1979 Art 170-201 Se establecen los requisitos para los elementos de protección personal y la ropa de trabajo.?
4. ¿Los responsables del SG-SST realizan seguimiento periódico a los ítems de Resolución 2400 del 22-05 de 1979 Art 170-201 Se establecen los requisitos para los elementos de protección personal y la ropa de trabajo. incluidos en la matriz legal y documentan los resultados?
5. ¿Se han comunicado los requisitos de Resolución 2400 del 22-05 de 1979 Art 170-201 Se establecen los requisitos para los elementos de protección personal y la ropa de trabajo. a los trabajadores, contratistas y proveedores que se ven impactados por esta norma?
6. ¿Las no conformidades asociadas al cumplimiento de Resolución 2400 del 22-05 de 1979 Art 170-201 Se establecen los requisitos para los elementos de protección personal y la ropa de trabajo. generan acciones correctivas o de mejora con responsables y fechas definidas?</t>
  </si>
  <si>
    <t>Fijar atención a lo coloreado en rojo</t>
  </si>
  <si>
    <t>Juan Narvaez</t>
  </si>
  <si>
    <t>Otras normas legales asociadas a EPP</t>
  </si>
  <si>
    <t>1. ¿La empresa ha registrado en la matriz legal las obligaciones derivadas de Otras normas legales asociadas a EPP y ha definido su aplicabilidad?
2. ¿Los procedimientos y controles del SG-SST contemplan lo establecido en Otras normas legales asociadas a EPP para las actividades y procesos de la organización?
3. ¿Existe evidencia documental (registros, informes, actas, comunicaciones) que demuestre la aplicación de Otras normas legales asociadas a EPP?
4. ¿Se ha socializado el contenido de Otras normas legales asociadas a EPP con los responsables de cada proceso y con los trabajadores cuando es pertinente?
5. ¿Se revisa periódicamente el cumplimiento de Otras normas legales asociadas a EPP y se generan planes de acción cuando se identifican desviaciones?
6. ¿La matriz legal se mantiene actualizada frente a modificaciones, derogatorias o nuevas disposiciones relacionadas con Otras normas legales asociadas a EPP?</t>
  </si>
  <si>
    <t>Decreto 539 de 2022 Por el cual se expide el Reglamento de Higiene y Seguridad en las Labores Mineras a Cielo Abierto arts 10, 11, 12</t>
  </si>
  <si>
    <t>1. ¿El SG-SST incorpora los requisitos establecidos en Decreto 539 de 2022 Por el cual se expide el Reglamento de Higiene y Seguridad en las Labores Mineras a Cielo Abierto arts 10, 11, 12 dentro de sus procedimientos, estándares y controles operativos?
2. ¿Se cuenta con documentación actualizada (procedimientos, instructivos, protocolos) que evidencie la implementación de lo definido en Decreto 539 de 2022 Por el cual se expide el Reglamento de Higiene y Seguridad en las Labores Mineras a Cielo Abierto arts 10, 11, 12?
3. ¿Se verifica de manera periódica el cumplimiento de Decreto 539 de 2022 Por el cual se expide el Reglamento de Higiene y Seguridad en las Labores Mineras a Cielo Abierto arts 10, 11, 12 en auditorías internas, inspecciones o revisiones de la matriz legal?
4. ¿Los responsables de cada proceso conocen las obligaciones derivadas de Decreto 539 de 2022 Por el cual se expide el Reglamento de Higiene y Seguridad en las Labores Mineras a Cielo Abierto arts 10, 11, 12 que les aplican y cuentan con los recursos para cumplirlas?
5. ¿Se conservan registros (informes, actas, listas de verificación, reportes) que demuestren la aplicación práctica de Decreto 539 de 2022 Por el cual se expide el Reglamento de Higiene y Seguridad en las Labores Mineras a Cielo Abierto arts 10, 11, 12 en la empresa?
6. ¿Las actualizaciones o derogatorias relacionadas con Decreto 539 de 2022 Por el cual se expide el Reglamento de Higiene y Seguridad en las Labores Mineras a Cielo Abierto arts 10, 11, 12 se reflejan oportunamente en la matriz legal y en los documentos del SG-SST?</t>
  </si>
  <si>
    <t>Jornadas y contratos</t>
  </si>
  <si>
    <t>Resolución 2400/79  Art. 691-706 Condiciones para menores de edad  y mujeres, Requisitos de salud, riesgos y controles en los trabajos nocturnos . Otras normas asociadas al temas: Ley 320 de 1996 (Art. 4,5,6,8). Ley 2663 de 1950 (Art. 242). Ley 50 de 1990 (Art. 22). Ley 789 de 2002 (Art. 25-51,</t>
  </si>
  <si>
    <t>1. ¿La empresa ha identificado los requisitos específicos de Resolución 2400/79 Art. 691-706 Condiciones para menores de edad y mujeres, Requisitos de salud, riesgos y controles en los trabajos nocturnos . Otras normas asociadas al temas: Ley 320 de 1996 (Art. 4,5,6,8). Ley 2663 de 1950 (Art. 242). Ley 50 de 1990 (Art. 22). Ley 789 de 2002 (Art. 25-51, que aplican a su actividad económica y tamaño?
2. ¿Se dispone de procedimientos, instructivos o formatos que permitan cumplir con las exigencias técnicas y administrativas de Resolución 2400/79 Art. 691-706 Condiciones para menores de edad y mujeres, Requisitos de salud, riesgos y controles en los trabajos nocturnos . Otras normas asociadas al temas: Ley 320 de 1996 (Art. 4,5,6,8). Ley 2663 de 1950 (Art. 242). Ley 50 de 1990 (Art. 22). Ley 789 de 2002 (Art. 25-51,?
3. ¿Existen registros (informes, actas, listados, certificados, reportes en plataformas) que evidencien el cumplimiento de Resolución 2400/79 Art. 691-706 Condiciones para menores de edad y mujeres, Requisitos de salud, riesgos y controles en los trabajos nocturnos . Otras normas asociadas al temas: Ley 320 de 1996 (Art. 4,5,6,8). Ley 2663 de 1950 (Art. 242). Ley 50 de 1990 (Art. 22). Ley 789 de 2002 (Art. 25-51,?
4. ¿Los responsables del SG-SST realizan seguimiento periódico a los ítems de Resolución 2400/79 Art. 691-706 Condiciones para menores de edad y mujeres, Requisitos de salud, riesgos y controles en los trabajos nocturnos . Otras normas asociadas al temas: Ley 320 de 1996 (Art. 4,5,6,8). Ley 2663 de 1950 (Art. 242). Ley 50 de 1990 (Art. 22). Ley 789 de 2002 (Art. 25-51, incluidos en la matriz legal y documentan los resultados?
5. ¿Se han comunicado los requisitos de Resolución 2400/79 Art. 691-706 Condiciones para menores de edad y mujeres, Requisitos de salud, riesgos y controles en los trabajos nocturnos . Otras normas asociadas al temas: Ley 320 de 1996 (Art. 4,5,6,8). Ley 2663 de 1950 (Art. 242). Ley 50 de 1990 (Art. 22). Ley 789 de 2002 (Art. 25-51, a los trabajadores, contratistas y proveedores que se ven impactados por esta norma?
6. ¿Las no conformidades asociadas al cumplimiento de Resolución 2400/79 Art. 691-706 Condiciones para menores de edad y mujeres, Requisitos de salud, riesgos y controles en los trabajos nocturnos . Otras normas asociadas al temas: Ley 320 de 1996 (Art. 4,5,6,8). Ley 2663 de 1950 (Art. 242). Ley 50 de 1990 (Art. 22). Ley 789 de 2002 (Art. 25-51, generan acciones correctivas o de mejora con responsables y fechas definidas?</t>
  </si>
  <si>
    <t>Ley 320 de 1996 (Art. 4,5,6,8). Ley 2663 de 1950 (Art. 242). Ley 50 de 1990 (Art. 22). Ley 789 de 2002 (Art. 25-51,</t>
  </si>
  <si>
    <t>1. ¿La empresa ha identificado y documentado en la matriz legal las obligaciones derivadas de Ley 320 de 1996 (Art. 4,5,6,8). Ley 2663 de 1950 (Art. 242). Ley 50 de 1990 (Art. 22). Ley 789 de 2002 (Art. 25-51, y su relación con el SG-SST?
2. ¿Las políticas, procedimientos y programas del SG-SST incorporan de forma explícita los lineamientos establecidos en Ley 320 de 1996 (Art. 4,5,6,8). Ley 2663 de 1950 (Art. 242). Ley 50 de 1990 (Art. 22). Ley 789 de 2002 (Art. 25-51,?
3. ¿Existe evidencia documental (actas, comunicaciones, registros, contratos, entre otros) que demuestre la aplicación de Ley 320 de 1996 (Art. 4,5,6,8). Ley 2663 de 1950 (Art. 242). Ley 50 de 1990 (Art. 22). Ley 789 de 2002 (Art. 25-51, en la organización?
4. ¿Se ha socializado con trabajadores, líderes y responsables del SG-SST el contenido y alcance de Ley 320 de 1996 (Art. 4,5,6,8). Ley 2663 de 1950 (Art. 242). Ley 50 de 1990 (Art. 22). Ley 789 de 2002 (Art. 25-51, y sus implicaciones en seguridad y salud en el trabajo?
5. ¿Se realiza seguimiento periódico al cumplimiento de Ley 320 de 1996 (Art. 4,5,6,8). Ley 2663 de 1950 (Art. 242). Ley 50 de 1990 (Art. 22). Ley 789 de 2002 (Art. 25-51,, dejando soportes de las revisiones y acciones de mejora cuando se identifican brechas?
6. ¿Los cambios o reformas a Ley 320 de 1996 (Art. 4,5,6,8). Ley 2663 de 1950 (Art. 242). Ley 50 de 1990 (Art. 22). Ley 789 de 2002 (Art. 25-51, se registran oportunamente en la matriz legal y se comunican a los procesos impactados?</t>
  </si>
  <si>
    <t>Ley 2663 de 1950 (Art. 242). Ley 50 de 1990 (Art. 22). Ley 789 de 2002 (Art. 25-51,</t>
  </si>
  <si>
    <t>1. ¿La empresa ha identificado y documentado en la matriz legal las obligaciones derivadas de Ley 2663 de 1950 (Art. 242). Ley 50 de 1990 (Art. 22). Ley 789 de 2002 (Art. 25-51, y su relación con el SG-SST?
2. ¿Las políticas, procedimientos y programas del SG-SST incorporan de forma explícita los lineamientos establecidos en Ley 2663 de 1950 (Art. 242). Ley 50 de 1990 (Art. 22). Ley 789 de 2002 (Art. 25-51,?
3. ¿Existe evidencia documental (actas, comunicaciones, registros, contratos, entre otros) que demuestre la aplicación de Ley 2663 de 1950 (Art. 242). Ley 50 de 1990 (Art. 22). Ley 789 de 2002 (Art. 25-51, en la organización?
4. ¿Se ha socializado con trabajadores, líderes y responsables del SG-SST el contenido y alcance de Ley 2663 de 1950 (Art. 242). Ley 50 de 1990 (Art. 22). Ley 789 de 2002 (Art. 25-51, y sus implicaciones en seguridad y salud en el trabajo?
5. ¿Se realiza seguimiento periódico al cumplimiento de Ley 2663 de 1950 (Art. 242). Ley 50 de 1990 (Art. 22). Ley 789 de 2002 (Art. 25-51,, dejando soportes de las revisiones y acciones de mejora cuando se identifican brechas?
6. ¿Los cambios o reformas a Ley 2663 de 1950 (Art. 242). Ley 50 de 1990 (Art. 22). Ley 789 de 2002 (Art. 25-51, se registran oportunamente en la matriz legal y se comunican a los procesos impactados?</t>
  </si>
  <si>
    <t>Ley 50 de 1990 (Art. 22). Ley 789 de 2002 (Art. 25-51,</t>
  </si>
  <si>
    <t>1. ¿La empresa ha identificado y documentado en la matriz legal las obligaciones derivadas de Ley 50 de 1990 (Art. 22). Ley 789 de 2002 (Art. 25-51, y su relación con el SG-SST?
2. ¿Las políticas, procedimientos y programas del SG-SST incorporan de forma explícita los lineamientos establecidos en Ley 50 de 1990 (Art. 22). Ley 789 de 2002 (Art. 25-51,?
3. ¿Existe evidencia documental (actas, comunicaciones, registros, contratos, entre otros) que demuestre la aplicación de Ley 50 de 1990 (Art. 22). Ley 789 de 2002 (Art. 25-51, en la organización?
4. ¿Se ha socializado con trabajadores, líderes y responsables del SG-SST el contenido y alcance de Ley 50 de 1990 (Art. 22). Ley 789 de 2002 (Art. 25-51, y sus implicaciones en seguridad y salud en el trabajo?
5. ¿Se realiza seguimiento periódico al cumplimiento de Ley 50 de 1990 (Art. 22). Ley 789 de 2002 (Art. 25-51,, dejando soportes de las revisiones y acciones de mejora cuando se identifican brechas?
6. ¿Los cambios o reformas a Ley 50 de 1990 (Art. 22). Ley 789 de 2002 (Art. 25-51, se registran oportunamente en la matriz legal y se comunican a los procesos impactados?</t>
  </si>
  <si>
    <t>Ley 789 de 2002 (Art. 25-51,</t>
  </si>
  <si>
    <t>1. ¿La empresa ha identificado y documentado en la matriz legal las obligaciones derivadas de Ley 789 de 2002 (Art. 25-51, y su relación con el SG-SST?
2. ¿Las políticas, procedimientos y programas del SG-SST incorporan de forma explícita los lineamientos establecidos en Ley 789 de 2002 (Art. 25-51,?
3. ¿Existe evidencia documental (actas, comunicaciones, registros, contratos, entre otros) que demuestre la aplicación de Ley 789 de 2002 (Art. 25-51, en la organización?
4. ¿Se ha socializado con trabajadores, líderes y responsables del SG-SST el contenido y alcance de Ley 789 de 2002 (Art. 25-51, y sus implicaciones en seguridad y salud en el trabajo?
5. ¿Se realiza seguimiento periódico al cumplimiento de Ley 789 de 2002 (Art. 25-51,, dejando soportes de las revisiones y acciones de mejora cuando se identifican brechas?
6. ¿Los cambios o reformas a Ley 789 de 2002 (Art. 25-51, se registran oportunamente en la matriz legal y se comunican a los procesos impactados?</t>
  </si>
  <si>
    <t>Resolución 623 de 3-03-2020 Por la cual se modifica la Resolución 3546 de 2018 en cumplimiento del artículo 192 de la Ley 1955 de 2019 y se dictan otras disposiciones (Estudiantes en práctica)</t>
  </si>
  <si>
    <t>1. ¿La empresa ha identificado los requisitos específicos de Resolución 623 de 3-03-2020 Por la cual se modifica la Resolución 3546 de 2018 en cumplimiento del artículo 192 de la Ley 1955 de 2019 y se dictan otras disposiciones (Estudiantes en práctica) que aplican a su actividad económica y tamaño?
2. ¿Se dispone de procedimientos, instructivos o formatos que permitan cumplir con las exigencias técnicas y administrativas de Resolución 623 de 3-03-2020 Por la cual se modifica la Resolución 3546 de 2018 en cumplimiento del artículo 192 de la Ley 1955 de 2019 y se dictan otras disposiciones (Estudiantes en práctica)?
3. ¿Existen registros (informes, actas, listados, certificados, reportes en plataformas) que evidencien el cumplimiento de Resolución 623 de 3-03-2020 Por la cual se modifica la Resolución 3546 de 2018 en cumplimiento del artículo 192 de la Ley 1955 de 2019 y se dictan otras disposiciones (Estudiantes en práctica)?
4. ¿Los responsables del SG-SST realizan seguimiento periódico a los ítems de Resolución 623 de 3-03-2020 Por la cual se modifica la Resolución 3546 de 2018 en cumplimiento del artículo 192 de la Ley 1955 de 2019 y se dictan otras disposiciones (Estudiantes en práctica) incluidos en la matriz legal y documentan los resultados?
5. ¿Se han comunicado los requisitos de Resolución 623 de 3-03-2020 Por la cual se modifica la Resolución 3546 de 2018 en cumplimiento del artículo 192 de la Ley 1955 de 2019 y se dictan otras disposiciones (Estudiantes en práctica) a los trabajadores, contratistas y proveedores que se ven impactados por esta norma?
6. ¿Las no conformidades asociadas al cumplimiento de Resolución 623 de 3-03-2020 Por la cual se modifica la Resolución 3546 de 2018 en cumplimiento del artículo 192 de la Ley 1955 de 2019 y se dictan otras disposiciones (Estudiantes en práctica) generan acciones correctivas o de mejora con responsables y fechas definidas?</t>
  </si>
  <si>
    <t>Ley 2101 de 15-07-2021 Por la cual el congreso reduce la jornada laboral a 42 horas</t>
  </si>
  <si>
    <t>1. ¿La empresa ha identificado y documentado en la matriz legal las obligaciones derivadas de Ley 2101 de 15-07-2021 Por la cual el congreso reduce la jornada laboral a 42 horas y su relación con el SG-SST?
2. ¿Las políticas, procedimientos y programas del SG-SST incorporan de forma explícita los lineamientos establecidos en Ley 2101 de 15-07-2021 Por la cual el congreso reduce la jornada laboral a 42 horas?
3. ¿Existe evidencia documental (actas, comunicaciones, registros, contratos, entre otros) que demuestre la aplicación de Ley 2101 de 15-07-2021 Por la cual el congreso reduce la jornada laboral a 42 horas en la organización?
4. ¿Se ha socializado con trabajadores, líderes y responsables del SG-SST el contenido y alcance de Ley 2101 de 15-07-2021 Por la cual el congreso reduce la jornada laboral a 42 horas y sus implicaciones en seguridad y salud en el trabajo?
5. ¿Se realiza seguimiento periódico al cumplimiento de Ley 2101 de 15-07-2021 Por la cual el congreso reduce la jornada laboral a 42 horas, dejando soportes de las revisiones y acciones de mejora cuando se identifican brechas?
6. ¿Los cambios o reformas a Ley 2101 de 15-07-2021 Por la cual el congreso reduce la jornada laboral a 42 horas se registran oportunamente en la matriz legal y se comunican a los procesos impactados?</t>
  </si>
  <si>
    <t>Ley 2121 del 3-08-2021 Congreso crea el régimen de trabajo remoto y se establecen normas para promoverlo, regularlo y se dictan otras disposiciones (Art.4 y20)</t>
  </si>
  <si>
    <t>1. ¿La empresa ha identificado y documentado en la matriz legal las obligaciones derivadas de Ley 2121 del 3-08-2021 Congreso crea el régimen de trabajo remoto y se establecen normas para promoverlo, regularlo y se dictan otras disposiciones (Art.4 y20) y su relación con el SG-SST?
2. ¿Las políticas, procedimientos y programas del SG-SST incorporan de forma explícita los lineamientos establecidos en Ley 2121 del 3-08-2021 Congreso crea el régimen de trabajo remoto y se establecen normas para promoverlo, regularlo y se dictan otras disposiciones (Art.4 y20)?
3. ¿Existe evidencia documental (actas, comunicaciones, registros, contratos, entre otros) que demuestre la aplicación de Ley 2121 del 3-08-2021 Congreso crea el régimen de trabajo remoto y se establecen normas para promoverlo, regularlo y se dictan otras disposiciones (Art.4 y20) en la organización?
4. ¿Se ha socializado con trabajadores, líderes y responsables del SG-SST el contenido y alcance de Ley 2121 del 3-08-2021 Congreso crea el régimen de trabajo remoto y se establecen normas para promoverlo, regularlo y se dictan otras disposiciones (Art.4 y20) y sus implicaciones en seguridad y salud en el trabajo?
5. ¿Se realiza seguimiento periódico al cumplimiento de Ley 2121 del 3-08-2021 Congreso crea el régimen de trabajo remoto y se establecen normas para promoverlo, regularlo y se dictan otras disposiciones (Art.4 y20), dejando soportes de las revisiones y acciones de mejora cuando se identifican brechas?
6. ¿Los cambios o reformas a Ley 2121 del 3-08-2021 Congreso crea el régimen de trabajo remoto y se establecen normas para promoverlo, regularlo y se dictan otras disposiciones (Art.4 y20) se registran oportunamente en la matriz legal y se comunican a los procesos impactados?</t>
  </si>
  <si>
    <t>Decreto 555 del 9-04-2022 Adiciona el trabajo remoto y desconexión laboral al D. 1072</t>
  </si>
  <si>
    <t>1. ¿El SG-SST incorpora los requisitos establecidos en Decreto 555 del 9-04-2022 Adiciona el trabajo remoto y desconexión laboral al D. 1072 dentro de sus procedimientos, estándares y controles operativos?
2. ¿Se cuenta con documentación actualizada (procedimientos, instructivos, protocolos) que evidencie la implementación de lo definido en Decreto 555 del 9-04-2022 Adiciona el trabajo remoto y desconexión laboral al D. 1072?
3. ¿Se verifica de manera periódica el cumplimiento de Decreto 555 del 9-04-2022 Adiciona el trabajo remoto y desconexión laboral al D. 1072 en auditorías internas, inspecciones o revisiones de la matriz legal?
4. ¿Los responsables de cada proceso conocen las obligaciones derivadas de Decreto 555 del 9-04-2022 Adiciona el trabajo remoto y desconexión laboral al D. 1072 que les aplican y cuentan con los recursos para cumplirlas?
5. ¿Se conservan registros (informes, actas, listas de verificación, reportes) que demuestren la aplicación práctica de Decreto 555 del 9-04-2022 Adiciona el trabajo remoto y desconexión laboral al D. 1072 en la empresa?
6. ¿Las actualizaciones o derogatorias relacionadas con Decreto 555 del 9-04-2022 Adiciona el trabajo remoto y desconexión laboral al D. 1072 se reflejan oportunamente en la matriz legal y en los documentos del SG-SST?</t>
  </si>
  <si>
    <t>Circular 71 del 30-11-2022  deja sin efectos circulares durante pandemia y la C. 49 de 2019</t>
  </si>
  <si>
    <t>1. ¿La empresa conoce y ha analizado los lineamientos impartidos en Circular 71 del 30-11-2022 deja sin efectos circulares durante pandemia y la C. 49 de 2019 frente a su actividad y condiciones de trabajo?
2. ¿Se han incorporado en los procedimientos internos las orientaciones y criterios definidos en Circular 71 del 30-11-2022 deja sin efectos circulares durante pandemia y la C. 49 de 2019?
3. ¿Existe evidencia de comunicación interna (correos, circulares, actas) sobre el contenido de Circular 71 del 30-11-2022 deja sin efectos circulares durante pandemia y la C. 49 de 2019 a las áreas responsables?
4. ¿Se verifica en auditorías o revisiones internas el cumplimiento de las instrucciones dadas en Circular 71 del 30-11-2022 deja sin efectos circulares durante pandemia y la C. 49 de 2019?
5. ¿Los cambios o nuevas circulares que complementan o sustituyen a Circular 71 del 30-11-2022 deja sin efectos circulares durante pandemia y la C. 49 de 2019 se actualizan oportunamente en la matriz legal?
6. ¿Se conservan registros de las decisiones tomadas a partir de Circular 71 del 30-11-2022 deja sin efectos circulares durante pandemia y la C. 49 de 2019 en relación con el SG-SST?</t>
  </si>
  <si>
    <t>Resolución 3031 del 30-08-2023 Min trabajo actualización de la autorización para laborar tiempo extra, Circular 69 del 20-09-2023 Min trabajo criterios para autorizar o negar horas extras</t>
  </si>
  <si>
    <t>1. ¿La empresa ha identificado los requisitos específicos de Resolución 3031 del 30-08-2023 Min trabajo actualización de la autorización para laborar tiempo extra, Circular 69 del 20-09-2023 Min trabajo criterios para autorizar o negar horas extras que aplican a su actividad económica y tamaño?
2. ¿Se dispone de procedimientos, instructivos o formatos que permitan cumplir con las exigencias técnicas y administrativas de Resolución 3031 del 30-08-2023 Min trabajo actualización de la autorización para laborar tiempo extra, Circular 69 del 20-09-2023 Min trabajo criterios para autorizar o negar horas extras?
3. ¿Existen registros (informes, actas, listados, certificados, reportes en plataformas) que evidencien el cumplimiento de Resolución 3031 del 30-08-2023 Min trabajo actualización de la autorización para laborar tiempo extra, Circular 69 del 20-09-2023 Min trabajo criterios para autorizar o negar horas extras?
4. ¿Los responsables del SG-SST realizan seguimiento periódico a los ítems de Resolución 3031 del 30-08-2023 Min trabajo actualización de la autorización para laborar tiempo extra, Circular 69 del 20-09-2023 Min trabajo criterios para autorizar o negar horas extras incluidos en la matriz legal y documentan los resultados?
5. ¿Se han comunicado los requisitos de Resolución 3031 del 30-08-2023 Min trabajo actualización de la autorización para laborar tiempo extra, Circular 69 del 20-09-2023 Min trabajo criterios para autorizar o negar horas extras a los trabajadores, contratistas y proveedores que se ven impactados por esta norma?
6. ¿Las no conformidades asociadas al cumplimiento de Resolución 3031 del 30-08-2023 Min trabajo actualización de la autorización para laborar tiempo extra, Circular 69 del 20-09-2023 Min trabajo criterios para autorizar o negar horas extras generan acciones correctivas o de mejora con responsables y fechas definidas?</t>
  </si>
  <si>
    <t>Circular 69 del 20-09-2023 Min trabajo criterios para autorizar o negar horas extras</t>
  </si>
  <si>
    <t>1. ¿La empresa conoce y ha analizado los lineamientos impartidos en Circular 69 del 20-09-2023 Min trabajo criterios para autorizar o negar horas extras frente a su actividad y condiciones de trabajo?
2. ¿Se han incorporado en los procedimientos internos las orientaciones y criterios definidos en Circular 69 del 20-09-2023 Min trabajo criterios para autorizar o negar horas extras?
3. ¿Existe evidencia de comunicación interna (correos, circulares, actas) sobre el contenido de Circular 69 del 20-09-2023 Min trabajo criterios para autorizar o negar horas extras a las áreas responsables?
4. ¿Se verifica en auditorías o revisiones internas el cumplimiento de las instrucciones dadas en Circular 69 del 20-09-2023 Min trabajo criterios para autorizar o negar horas extras?
5. ¿Los cambios o nuevas circulares que complementan o sustituyen a Circular 69 del 20-09-2023 Min trabajo criterios para autorizar o negar horas extras se actualizan oportunamente en la matriz legal?
6. ¿Se conservan registros de las decisiones tomadas a partir de Circular 69 del 20-09-2023 Min trabajo criterios para autorizar o negar horas extras en relación con el SG-SST?</t>
  </si>
  <si>
    <t>Ambiental Legal</t>
  </si>
  <si>
    <t xml:space="preserve">Resolución 0921 de 2025 – ANLA. Actualiza el marco tarifario para evaluación y seguimiento de licencias, permisos y demás instrumentos ambientales (impacta costos y planeación de trámites). </t>
  </si>
  <si>
    <t>1. ¿La empresa ha identificado los requisitos específicos de Resolución 0921 de 2025 – ANLA. Actualiza el marco tarifario para evaluación y seguimiento de licencias, permisos y demás instrumentos ambientales (impacta costos y planeación de trámites). que aplican a su actividad económica y tamaño?
2. ¿Se dispone de procedimientos, instructivos o formatos que permitan cumplir con las exigencias técnicas y administrativas de Resolución 0921 de 2025 – ANLA. Actualiza el marco tarifario para evaluación y seguimiento de licencias, permisos y demás instrumentos ambientales (impacta costos y planeación de trámites).?
3. ¿Existen registros (informes, actas, listados, certificados, reportes en plataformas) que evidencien el cumplimiento de Resolución 0921 de 2025 – ANLA. Actualiza el marco tarifario para evaluación y seguimiento de licencias, permisos y demás instrumentos ambientales (impacta costos y planeación de trámites).?
4. ¿Los responsables del SG-SST realizan seguimiento periódico a los ítems de Resolución 0921 de 2025 – ANLA. Actualiza el marco tarifario para evaluación y seguimiento de licencias, permisos y demás instrumentos ambientales (impacta costos y planeación de trámites). incluidos en la matriz legal y documentan los resultados?
5. ¿Se han comunicado los requisitos de Resolución 0921 de 2025 – ANLA. Actualiza el marco tarifario para evaluación y seguimiento de licencias, permisos y demás instrumentos ambientales (impacta costos y planeación de trámites). a los trabajadores, contratistas y proveedores que se ven impactados por esta norma?
6. ¿Las no conformidades asociadas al cumplimiento de Resolución 0921 de 2025 – ANLA. Actualiza el marco tarifario para evaluación y seguimiento de licencias, permisos y demás instrumentos ambientales (impacta costos y planeación de trámites). generan acciones correctivas o de mejora con responsables y fechas definidas?</t>
  </si>
  <si>
    <t>1. Contar con documento y procedimiento vigente del requisito legal aplicable.
2. Implementar controles y responsables definidos para su cumplimiento.
3. Conservar evidencia verificable (registros, actas, informes, indicadores).
4. Verificar registros documentales de cumplimiento del requisito.
5. Confirmar actualización de procedimientos y formatos relacionados.
6. Revisar trazabilidad de acciones preventivas y correctivas.</t>
  </si>
  <si>
    <t xml:space="preserve">Resolución 0175 de 2025 – MADS. Reglamenta condiciones de participación comunitaria en mesas de trabajo regionales (CONALDEF). Importante en el relacionamiento socioambiental de proyectos (canteras/plantas). </t>
  </si>
  <si>
    <t>1. ¿La empresa ha identificado los requisitos específicos de Resolución 0175 de 2025 – MADS. Reglamenta condiciones de participación comunitaria en mesas de trabajo regionales (CONALDEF). Importante en el relacionamiento socioambiental de proyectos (canteras/plantas). que aplican a su actividad económica y tamaño?
2. ¿Se dispone de procedimientos, instructivos o formatos que permitan cumplir con las exigencias técnicas y administrativas de Resolución 0175 de 2025 – MADS. Reglamenta condiciones de participación comunitaria en mesas de trabajo regionales (CONALDEF). Importante en el relacionamiento socioambiental de proyectos (canteras/plantas).?
3. ¿Existen registros (informes, actas, listados, certificados, reportes en plataformas) que evidencien el cumplimiento de Resolución 0175 de 2025 – MADS. Reglamenta condiciones de participación comunitaria en mesas de trabajo regionales (CONALDEF). Importante en el relacionamiento socioambiental de proyectos (canteras/plantas).?
4. ¿Los responsables del SG-SST realizan seguimiento periódico a los ítems de Resolución 0175 de 2025 – MADS. Reglamenta condiciones de participación comunitaria en mesas de trabajo regionales (CONALDEF). Importante en el relacionamiento socioambiental de proyectos (canteras/plantas). incluidos en la matriz legal y documentan los resultados?
5. ¿Se han comunicado los requisitos de Resolución 0175 de 2025 – MADS. Reglamenta condiciones de participación comunitaria en mesas de trabajo regionales (CONALDEF). Importante en el relacionamiento socioambiental de proyectos (canteras/plantas). a los trabajadores, contratistas y proveedores que se ven impactados por esta norma?
6. ¿Las no conformidades asociadas al cumplimiento de Resolución 0175 de 2025 – MADS. Reglamenta condiciones de participación comunitaria en mesas de trabajo regionales (CONALDEF). Importante en el relacionamiento socioambiental de proyectos (canteras/plantas). generan acciones correctivas o de mejora con responsables y fechas definidas?</t>
  </si>
  <si>
    <t xml:space="preserve">Resolución 1216 de 2025 – ANM. Criterios para demostrar capacidad económica de comercializadores de minerales y plantas de beneficio (RUCOM). Útil cuando HOLCIM interviene en compra/venta de materiales de cantera. </t>
  </si>
  <si>
    <t>1. ¿La empresa ha identificado los requisitos específicos de Resolución 1216 de 2025 – ANM. Criterios para demostrar capacidad económica de comercializadores de minerales y plantas de beneficio (RUCOM). Útil cuando HOLCIM interviene en compra/venta de materiales de cantera. que aplican a su actividad económica y tamaño?
2. ¿Se dispone de procedimientos, instructivos o formatos que permitan cumplir con las exigencias técnicas y administrativas de Resolución 1216 de 2025 – ANM. Criterios para demostrar capacidad económica de comercializadores de minerales y plantas de beneficio (RUCOM). Útil cuando HOLCIM interviene en compra/venta de materiales de cantera.?
3. ¿Existen registros (informes, actas, listados, certificados, reportes en plataformas) que evidencien el cumplimiento de Resolución 1216 de 2025 – ANM. Criterios para demostrar capacidad económica de comercializadores de minerales y plantas de beneficio (RUCOM). Útil cuando HOLCIM interviene en compra/venta de materiales de cantera.?
4. ¿Los responsables del SG-SST realizan seguimiento periódico a los ítems de Resolución 1216 de 2025 – ANM. Criterios para demostrar capacidad económica de comercializadores de minerales y plantas de beneficio (RUCOM). Útil cuando HOLCIM interviene en compra/venta de materiales de cantera. incluidos en la matriz legal y documentan los resultados?
5. ¿Se han comunicado los requisitos de Resolución 1216 de 2025 – ANM. Criterios para demostrar capacidad económica de comercializadores de minerales y plantas de beneficio (RUCOM). Útil cuando HOLCIM interviene en compra/venta de materiales de cantera. a los trabajadores, contratistas y proveedores que se ven impactados por esta norma?
6. ¿Las no conformidades asociadas al cumplimiento de Resolución 1216 de 2025 – ANM. Criterios para demostrar capacidad económica de comercializadores de minerales y plantas de beneficio (RUCOM). Útil cuando HOLCIM interviene en compra/venta de materiales de cantera. generan acciones correctivas o de mejora con responsables y fechas definidas?</t>
  </si>
  <si>
    <t>Ejecutar criterio color rojo</t>
  </si>
  <si>
    <t xml:space="preserve">Resolución 1549 de 2025 – ANM. Ajustes técnicos a la Plataforma de Trazabilidad de Minerales y etapas de control (incide en reportes y debida diligencia en la cadena). </t>
  </si>
  <si>
    <t>1. ¿La empresa ha identificado los requisitos específicos de Resolución 1549 de 2025 – ANM. Ajustes técnicos a la Plataforma de Trazabilidad de Minerales y etapas de control (incide en reportes y debida diligencia en la cadena). que aplican a su actividad económica y tamaño?
2. ¿Se dispone de procedimientos, instructivos o formatos que permitan cumplir con las exigencias técnicas y administrativas de Resolución 1549 de 2025 – ANM. Ajustes técnicos a la Plataforma de Trazabilidad de Minerales y etapas de control (incide en reportes y debida diligencia en la cadena).?
3. ¿Existen registros (informes, actas, listados, certificados, reportes en plataformas) que evidencien el cumplimiento de Resolución 1549 de 2025 – ANM. Ajustes técnicos a la Plataforma de Trazabilidad de Minerales y etapas de control (incide en reportes y debida diligencia en la cadena).?
4. ¿Los responsables del SG-SST realizan seguimiento periódico a los ítems de Resolución 1549 de 2025 – ANM. Ajustes técnicos a la Plataforma de Trazabilidad de Minerales y etapas de control (incide en reportes y debida diligencia en la cadena). incluidos en la matriz legal y documentan los resultados?
5. ¿Se han comunicado los requisitos de Resolución 1549 de 2025 – ANM. Ajustes técnicos a la Plataforma de Trazabilidad de Minerales y etapas de control (incide en reportes y debida diligencia en la cadena). a los trabajadores, contratistas y proveedores que se ven impactados por esta norma?
6. ¿Las no conformidades asociadas al cumplimiento de Resolución 1549 de 2025 – ANM. Ajustes técnicos a la Plataforma de Trazabilidad de Minerales y etapas de control (incide en reportes y debida diligencia en la cadena). generan acciones correctivas o de mejora con responsables y fechas definidas?</t>
  </si>
  <si>
    <t>Vigilancia epidemiológica: Historia Clínica - Evaluaciones médicas</t>
  </si>
  <si>
    <t>Decreto 614/84 art.30</t>
  </si>
  <si>
    <t>1. ¿El SG-SST incorpora los requisitos establecidos en Decreto 614/84 art.30 dentro de sus procedimientos, estándares y controles operativos?
2. ¿Se cuenta con documentación actualizada (procedimientos, instructivos, protocolos) que evidencie la implementación de lo definido en Decreto 614/84 art.30?
3. ¿Se verifica de manera periódica el cumplimiento de Decreto 614/84 art.30 en auditorías internas, inspecciones o revisiones de la matriz legal?
4. ¿Los responsables de cada proceso conocen las obligaciones derivadas de Decreto 614/84 art.30 que les aplican y cuentan con los recursos para cumplirlas?
5. ¿Se conservan registros (informes, actas, listas de verificación, reportes) que demuestren la aplicación práctica de Decreto 614/84 art.30 en la empresa?
6. ¿Las actualizaciones o derogatorias relacionadas con Decreto 614/84 art.30 se reflejan oportunamente en la matriz legal y en los documentos del SG-SST?</t>
  </si>
  <si>
    <t>Resolución 1995/99 Historia Clínica (Art. 1 - 22), Circular 01 de 2003 (No. 7). Circular unificada de 2004. Ley 2663 de 1950 CST (Art. 348).,  Resolución 839/2017 modificó la  Resolución 1995/99 Custodia y eliminación de las HC.</t>
  </si>
  <si>
    <t>1. ¿La empresa ha identificado los requisitos específicos de Resolución 1995/99 Historia Clínica (Art. 1 - 22), Circular 01 de 2003 (No. 7). Circular unificada de 2004. Ley 2663 de 1950 CST (Art. 348)., Resolución 839/2017 modificó la Resolución 1995/99 Custodia y eliminación de las HC. que aplican a su actividad económica y tamaño?
2. ¿Se dispone de procedimientos, instructivos o formatos que permitan cumplir con las exigencias técnicas y administrativas de Resolución 1995/99 Historia Clínica (Art. 1 - 22), Circular 01 de 2003 (No. 7). Circular unificada de 2004. Ley 2663 de 1950 CST (Art. 348)., Resolución 839/2017 modificó la Resolución 1995/99 Custodia y eliminación de las HC.?
3. ¿Existen registros (informes, actas, listados, certificados, reportes en plataformas) que evidencien el cumplimiento de Resolución 1995/99 Historia Clínica (Art. 1 - 22), Circular 01 de 2003 (No. 7). Circular unificada de 2004. Ley 2663 de 1950 CST (Art. 348)., Resolución 839/2017 modificó la Resolución 1995/99 Custodia y eliminación de las HC.?
4. ¿Los responsables del SG-SST realizan seguimiento periódico a los ítems de Resolución 1995/99 Historia Clínica (Art. 1 - 22), Circular 01 de 2003 (No. 7). Circular unificada de 2004. Ley 2663 de 1950 CST (Art. 348)., Resolución 839/2017 modificó la Resolución 1995/99 Custodia y eliminación de las HC. incluidos en la matriz legal y documentan los resultados?
5. ¿Se han comunicado los requisitos de Resolución 1995/99 Historia Clínica (Art. 1 - 22), Circular 01 de 2003 (No. 7). Circular unificada de 2004. Ley 2663 de 1950 CST (Art. 348)., Resolución 839/2017 modificó la Resolución 1995/99 Custodia y eliminación de las HC. a los trabajadores, contratistas y proveedores que se ven impactados por esta norma?
6. ¿Las no conformidades asociadas al cumplimiento de Resolución 1995/99 Historia Clínica (Art. 1 - 22), Circular 01 de 2003 (No. 7). Circular unificada de 2004. Ley 2663 de 1950 CST (Art. 348)., Resolución 839/2017 modificó la Resolución 1995/99 Custodia y eliminación de las HC. generan acciones correctivas o de mejora con responsables y fechas definidas?</t>
  </si>
  <si>
    <t>Circular 01 de 2003 (No. 7). Circular unificada de 2004. Ley 2663 de 1950 CST (Art. 348).,  Resolución 839/2017 modificó la  Resolución 1995/99 Custodia y eliminación de las HC.</t>
  </si>
  <si>
    <t>1. ¿La empresa conoce y ha analizado los lineamientos impartidos en Circular 01 de 2003 (No. 7). Circular unificada de 2004. Ley 2663 de 1950 CST (Art. 348)., Resolución 839/2017 modificó la Resolución 1995/99 Custodia y eliminación de las HC. frente a su actividad y condiciones de trabajo?
2. ¿Se han incorporado en los procedimientos internos las orientaciones y criterios definidos en Circular 01 de 2003 (No. 7). Circular unificada de 2004. Ley 2663 de 1950 CST (Art. 348)., Resolución 839/2017 modificó la Resolución 1995/99 Custodia y eliminación de las HC.?
3. ¿Existe evidencia de comunicación interna (correos, circulares, actas) sobre el contenido de Circular 01 de 2003 (No. 7). Circular unificada de 2004. Ley 2663 de 1950 CST (Art. 348)., Resolución 839/2017 modificó la Resolución 1995/99 Custodia y eliminación de las HC. a las áreas responsables?
4. ¿Se verifica en auditorías o revisiones internas el cumplimiento de las instrucciones dadas en Circular 01 de 2003 (No. 7). Circular unificada de 2004. Ley 2663 de 1950 CST (Art. 348)., Resolución 839/2017 modificó la Resolución 1995/99 Custodia y eliminación de las HC.?
5. ¿Los cambios o nuevas circulares que complementan o sustituyen a Circular 01 de 2003 (No. 7). Circular unificada de 2004. Ley 2663 de 1950 CST (Art. 348)., Resolución 839/2017 modificó la Resolución 1995/99 Custodia y eliminación de las HC. se actualizan oportunamente en la matriz legal?
6. ¿Se conservan registros de las decisiones tomadas a partir de Circular 01 de 2003 (No. 7). Circular unificada de 2004. Ley 2663 de 1950 CST (Art. 348)., Resolución 839/2017 modificó la Resolución 1995/99 Custodia y eliminación de las HC. en relación con el SG-SST?</t>
  </si>
  <si>
    <t>Circular unificada de 2004. Ley 2663 de 1950 CST (Art. 348).,  Resolución 839/2017 modificó la  Resolución 1995/99 Custodia y eliminación de las HC.</t>
  </si>
  <si>
    <t>1. ¿La empresa conoce y ha analizado los lineamientos impartidos en Circular unificada de 2004. Ley 2663 de 1950 CST (Art. 348)., Resolución 839/2017 modificó la Resolución 1995/99 Custodia y eliminación de las HC. frente a su actividad y condiciones de trabajo?
2. ¿Se han incorporado en los procedimientos internos las orientaciones y criterios definidos en Circular unificada de 2004. Ley 2663 de 1950 CST (Art. 348)., Resolución 839/2017 modificó la Resolución 1995/99 Custodia y eliminación de las HC.?
3. ¿Existe evidencia de comunicación interna (correos, circulares, actas) sobre el contenido de Circular unificada de 2004. Ley 2663 de 1950 CST (Art. 348)., Resolución 839/2017 modificó la Resolución 1995/99 Custodia y eliminación de las HC. a las áreas responsables?
4. ¿Se verifica en auditorías o revisiones internas el cumplimiento de las instrucciones dadas en Circular unificada de 2004. Ley 2663 de 1950 CST (Art. 348)., Resolución 839/2017 modificó la Resolución 1995/99 Custodia y eliminación de las HC.?
5. ¿Los cambios o nuevas circulares que complementan o sustituyen a Circular unificada de 2004. Ley 2663 de 1950 CST (Art. 348)., Resolución 839/2017 modificó la Resolución 1995/99 Custodia y eliminación de las HC. se actualizan oportunamente en la matriz legal?
6. ¿Se conservan registros de las decisiones tomadas a partir de Circular unificada de 2004. Ley 2663 de 1950 CST (Art. 348)., Resolución 839/2017 modificó la Resolución 1995/99 Custodia y eliminación de las HC. en relación con el SG-SST?</t>
  </si>
  <si>
    <t>Ley 2663 de 1950 CST (Art. 348).,  Resolución 839/2017 modificó la  Resolución 1995/99 Custodia y eliminación de las HC.</t>
  </si>
  <si>
    <t>1. ¿La empresa ha identificado y documentado en la matriz legal las obligaciones derivadas de Ley 2663 de 1950 CST (Art. 348)., Resolución 839/2017 modificó la Resolución 1995/99 Custodia y eliminación de las HC. y su relación con el SG-SST?
2. ¿Las políticas, procedimientos y programas del SG-SST incorporan de forma explícita los lineamientos establecidos en Ley 2663 de 1950 CST (Art. 348)., Resolución 839/2017 modificó la Resolución 1995/99 Custodia y eliminación de las HC.?
3. ¿Existe evidencia documental (actas, comunicaciones, registros, contratos, entre otros) que demuestre la aplicación de Ley 2663 de 1950 CST (Art. 348)., Resolución 839/2017 modificó la Resolución 1995/99 Custodia y eliminación de las HC. en la organización?
4. ¿Se ha socializado con trabajadores, líderes y responsables del SG-SST el contenido y alcance de Ley 2663 de 1950 CST (Art. 348)., Resolución 839/2017 modificó la Resolución 1995/99 Custodia y eliminación de las HC. y sus implicaciones en seguridad y salud en el trabajo?
5. ¿Se realiza seguimiento periódico al cumplimiento de Ley 2663 de 1950 CST (Art. 348)., Resolución 839/2017 modificó la Resolución 1995/99 Custodia y eliminación de las HC., dejando soportes de las revisiones y acciones de mejora cuando se identifican brechas?
6. ¿Los cambios o reformas a Ley 2663 de 1950 CST (Art. 348)., Resolución 839/2017 modificó la Resolución 1995/99 Custodia y eliminación de las HC. se registran oportunamente en la matriz legal y se comunican a los procesos impactados?</t>
  </si>
  <si>
    <t>Resolución 2844 de 2007. Por la cual se adoptan las Guías de Atención Integral de Salud Ocupacional Basadas en la Evidencia</t>
  </si>
  <si>
    <t>1. ¿La empresa ha identificado los requisitos específicos de Resolución 2844 de 2007. Por la cual se adoptan las Guías de Atención Integral de Salud Ocupacional Basadas en la Evidencia que aplican a su actividad económica y tamaño?
2. ¿Se dispone de procedimientos, instructivos o formatos que permitan cumplir con las exigencias técnicas y administrativas de Resolución 2844 de 2007. Por la cual se adoptan las Guías de Atención Integral de Salud Ocupacional Basadas en la Evidencia?
3. ¿Existen registros (informes, actas, listados, certificados, reportes en plataformas) que evidencien el cumplimiento de Resolución 2844 de 2007. Por la cual se adoptan las Guías de Atención Integral de Salud Ocupacional Basadas en la Evidencia?
4. ¿Los responsables del SG-SST realizan seguimiento periódico a los ítems de Resolución 2844 de 2007. Por la cual se adoptan las Guías de Atención Integral de Salud Ocupacional Basadas en la Evidencia incluidos en la matriz legal y documentan los resultados?
5. ¿Se han comunicado los requisitos de Resolución 2844 de 2007. Por la cual se adoptan las Guías de Atención Integral de Salud Ocupacional Basadas en la Evidencia a los trabajadores, contratistas y proveedores que se ven impactados por esta norma?
6. ¿Las no conformidades asociadas al cumplimiento de Resolución 2844 de 2007. Por la cual se adoptan las Guías de Atención Integral de Salud Ocupacional Basadas en la Evidencia generan acciones correctivas o de mejora con responsables y fechas definidas?</t>
  </si>
  <si>
    <t>Resolución 866 del 25-06-2021 Por la cual se reglamenta el conjunto de elementos de datos clínicos relevantes para la interoperabilidad de la historia clínica en el país y se dictan otras disposiciones</t>
  </si>
  <si>
    <t>1. ¿La empresa ha identificado los requisitos específicos de Resolución 866 del 25-06-2021 Por la cual se reglamenta el conjunto de elementos de datos clínicos relevantes para la interoperabilidad de la historia clínica en el país y se dictan otras disposiciones que aplican a su actividad económica y tamaño?
2. ¿Se dispone de procedimientos, instructivos o formatos que permitan cumplir con las exigencias técnicas y administrativas de Resolución 866 del 25-06-2021 Por la cual se reglamenta el conjunto de elementos de datos clínicos relevantes para la interoperabilidad de la historia clínica en el país y se dictan otras disposiciones?
3. ¿Existen registros (informes, actas, listados, certificados, reportes en plataformas) que evidencien el cumplimiento de Resolución 866 del 25-06-2021 Por la cual se reglamenta el conjunto de elementos de datos clínicos relevantes para la interoperabilidad de la historia clínica en el país y se dictan otras disposiciones?
4. ¿Los responsables del SG-SST realizan seguimiento periódico a los ítems de Resolución 866 del 25-06-2021 Por la cual se reglamenta el conjunto de elementos de datos clínicos relevantes para la interoperabilidad de la historia clínica en el país y se dictan otras disposiciones incluidos en la matriz legal y documentan los resultados?
5. ¿Se han comunicado los requisitos de Resolución 866 del 25-06-2021 Por la cual se reglamenta el conjunto de elementos de datos clínicos relevantes para la interoperabilidad de la historia clínica en el país y se dictan otras disposiciones a los trabajadores, contratistas y proveedores que se ven impactados por esta norma?
6. ¿Las no conformidades asociadas al cumplimiento de Resolución 866 del 25-06-2021 Por la cual se reglamenta el conjunto de elementos de datos clínicos relevantes para la interoperabilidad de la historia clínica en el país y se dictan otras disposiciones generan acciones correctivas o de mejora con responsables y fechas definidas?</t>
  </si>
  <si>
    <t>Circular-0015 del 11-03-2022 Evaluaciones médicas las paga empleador o contratante Min trabajo habilita mecanismos para reportar conductas contrarias</t>
  </si>
  <si>
    <t>1. ¿La empresa conoce y ha analizado los lineamientos impartidos en Circular-0015 del 11-03-2022 Evaluaciones médicas las paga empleador o contratante Min trabajo habilita mecanismos para reportar conductas contrarias frente a su actividad y condiciones de trabajo?
2. ¿Se han incorporado en los procedimientos internos las orientaciones y criterios definidos en Circular-0015 del 11-03-2022 Evaluaciones médicas las paga empleador o contratante Min trabajo habilita mecanismos para reportar conductas contrarias?
3. ¿Existe evidencia de comunicación interna (correos, circulares, actas) sobre el contenido de Circular-0015 del 11-03-2022 Evaluaciones médicas las paga empleador o contratante Min trabajo habilita mecanismos para reportar conductas contrarias a las áreas responsables?
4. ¿Se verifica en auditorías o revisiones internas el cumplimiento de las instrucciones dadas en Circular-0015 del 11-03-2022 Evaluaciones médicas las paga empleador o contratante Min trabajo habilita mecanismos para reportar conductas contrarias?
5. ¿Los cambios o nuevas circulares que complementan o sustituyen a Circular-0015 del 11-03-2022 Evaluaciones médicas las paga empleador o contratante Min trabajo habilita mecanismos para reportar conductas contrarias se actualizan oportunamente en la matriz legal?
6. ¿Se conservan registros de las decisiones tomadas a partir de Circular-0015 del 11-03-2022 Evaluaciones médicas las paga empleador o contratante Min trabajo habilita mecanismos para reportar conductas contrarias en relación con el SG-SST?</t>
  </si>
  <si>
    <t>Ley 2360 del 14-06-2024 Congreso de la república: Modifica la ley 1384 de 2010 reconociendo para los efectos de esta ley, como sujetos de especial protección constitucional a las personas con sospecha de cáncer o diagnosticadas con cáncer.</t>
  </si>
  <si>
    <t>1. ¿La empresa ha identificado y documentado en la matriz legal las obligaciones derivadas de Ley 2360 del 14-06-2024 Congreso de la república: Modifica la ley 1384 de 2010 reconociendo para los efectos de esta ley, como sujetos de especial protección constitucional a las personas con sospecha de cáncer o diagnosticadas con cáncer. y su relación con el SG-SST?
2. ¿Las políticas, procedimientos y programas del SG-SST incorporan de forma explícita los lineamientos establecidos en Ley 2360 del 14-06-2024 Congreso de la república: Modifica la ley 1384 de 2010 reconociendo para los efectos de esta ley, como sujetos de especial protección constitucional a las personas con sospecha de cáncer o diagnosticadas con cáncer.?
3. ¿Existe evidencia documental (actas, comunicaciones, registros, contratos, entre otros) que demuestre la aplicación de Ley 2360 del 14-06-2024 Congreso de la república: Modifica la ley 1384 de 2010 reconociendo para los efectos de esta ley, como sujetos de especial protección constitucional a las personas con sospecha de cáncer o diagnosticadas con cáncer. en la organización?
4. ¿Se ha socializado con trabajadores, líderes y responsables del SG-SST el contenido y alcance de Ley 2360 del 14-06-2024 Congreso de la república: Modifica la ley 1384 de 2010 reconociendo para los efectos de esta ley, como sujetos de especial protección constitucional a las personas con sospecha de cáncer o diagnosticadas con cáncer. y sus implicaciones en seguridad y salud en el trabajo?
5. ¿Se realiza seguimiento periódico al cumplimiento de Ley 2360 del 14-06-2024 Congreso de la república: Modifica la ley 1384 de 2010 reconociendo para los efectos de esta ley, como sujetos de especial protección constitucional a las personas con sospecha de cáncer o diagnosticadas con cáncer., dejando soportes de las revisiones y acciones de mejora cuando se identifican brechas?
6. ¿Los cambios o reformas a Ley 2360 del 14-06-2024 Congreso de la república: Modifica la ley 1384 de 2010 reconociendo para los efectos de esta ley, como sujetos de especial protección constitucional a las personas con sospecha de cáncer o diagnosticadas con cáncer. se registran oportunamente en la matriz legal y se comunican a los procesos impactados?</t>
  </si>
  <si>
    <t>Reglamentos: De Trabajo y de Higiene y Seguridad</t>
  </si>
  <si>
    <t>Ley 962 de 2005 (Art. 55 suprime el registro del RHSI ante min trabajo)</t>
  </si>
  <si>
    <t>1. ¿La empresa ha identificado y documentado en la matriz legal las obligaciones derivadas de Ley 962 de 2005 (Art. 55 suprime el registro del RHSI ante min trabajo) y su relación con el SG-SST?
2. ¿Las políticas, procedimientos y programas del SG-SST incorporan de forma explícita los lineamientos establecidos en Ley 962 de 2005 (Art. 55 suprime el registro del RHSI ante min trabajo)?
3. ¿Existe evidencia documental (actas, comunicaciones, registros, contratos, entre otros) que demuestre la aplicación de Ley 962 de 2005 (Art. 55 suprime el registro del RHSI ante min trabajo) en la organización?
4. ¿Se ha socializado con trabajadores, líderes y responsables del SG-SST el contenido y alcance de Ley 962 de 2005 (Art. 55 suprime el registro del RHSI ante min trabajo) y sus implicaciones en seguridad y salud en el trabajo?
5. ¿Se realiza seguimiento periódico al cumplimiento de Ley 962 de 2005 (Art. 55 suprime el registro del RHSI ante min trabajo), dejando soportes de las revisiones y acciones de mejora cuando se identifican brechas?
6. ¿Los cambios o reformas a Ley 962 de 2005 (Art. 55 suprime el registro del RHSI ante min trabajo) se registran oportunamente en la matriz legal y se comunican a los procesos impactados?</t>
  </si>
  <si>
    <t>Resolución 2400 de 1979 (Art. 2, a)</t>
  </si>
  <si>
    <t>1. ¿La empresa ha identificado los requisitos específicos de Resolución 2400 de 1979 (Art. 2, a) que aplican a su actividad económica y tamaño?
2. ¿Se dispone de procedimientos, instructivos o formatos que permitan cumplir con las exigencias técnicas y administrativas de Resolución 2400 de 1979 (Art. 2, a)?
3. ¿Existen registros (informes, actas, listados, certificados, reportes en plataformas) que evidencien el cumplimiento de Resolución 2400 de 1979 (Art. 2, a)?
4. ¿Los responsables del SG-SST realizan seguimiento periódico a los ítems de Resolución 2400 de 1979 (Art. 2, a) incluidos en la matriz legal y documentan los resultados?
5. ¿Se han comunicado los requisitos de Resolución 2400 de 1979 (Art. 2, a) a los trabajadores, contratistas y proveedores que se ven impactados por esta norma?
6. ¿Las no conformidades asociadas al cumplimiento de Resolución 2400 de 1979 (Art. 2, a) generan acciones correctivas o de mejora con responsables y fechas definidas?</t>
  </si>
  <si>
    <t>Ley 1010 de 23-01 de 2006 art. 9</t>
  </si>
  <si>
    <t>1. ¿La empresa ha identificado y documentado en la matriz legal las obligaciones derivadas de Ley 1010 de 23-01 de 2006 art. 9 y su relación con el SG-SST?
2. ¿Las políticas, procedimientos y programas del SG-SST incorporan de forma explícita los lineamientos establecidos en Ley 1010 de 23-01 de 2006 art. 9?
3. ¿Existe evidencia documental (actas, comunicaciones, registros, contratos, entre otros) que demuestre la aplicación de Ley 1010 de 23-01 de 2006 art. 9 en la organización?
4. ¿Se ha socializado con trabajadores, líderes y responsables del SG-SST el contenido y alcance de Ley 1010 de 23-01 de 2006 art. 9 y sus implicaciones en seguridad y salud en el trabajo?
5. ¿Se realiza seguimiento periódico al cumplimiento de Ley 1010 de 23-01 de 2006 art. 9, dejando soportes de las revisiones y acciones de mejora cuando se identifican brechas?
6. ¿Los cambios o reformas a Ley 1010 de 23-01 de 2006 art. 9 se registran oportunamente en la matriz legal y se comunican a los procesos impactados?</t>
  </si>
  <si>
    <t>Ley 1429 de 2010 formalización y generación de empleo  art 17 objeciones al RIT, art 18 descuentos prohibidos, art 22 publicación del RIT</t>
  </si>
  <si>
    <t>1. ¿La empresa ha identificado y documentado en la matriz legal las obligaciones derivadas de Ley 1429 de 2010 formalización y generación de empleo art 17 objeciones al RIT, art 18 descuentos prohibidos, art 22 publicación del RIT y su relación con el SG-SST?
2. ¿Las políticas, procedimientos y programas del SG-SST incorporan de forma explícita los lineamientos establecidos en Ley 1429 de 2010 formalización y generación de empleo art 17 objeciones al RIT, art 18 descuentos prohibidos, art 22 publicación del RIT?
3. ¿Existe evidencia documental (actas, comunicaciones, registros, contratos, entre otros) que demuestre la aplicación de Ley 1429 de 2010 formalización y generación de empleo art 17 objeciones al RIT, art 18 descuentos prohibidos, art 22 publicación del RIT en la organización?
4. ¿Se ha socializado con trabajadores, líderes y responsables del SG-SST el contenido y alcance de Ley 1429 de 2010 formalización y generación de empleo art 17 objeciones al RIT, art 18 descuentos prohibidos, art 22 publicación del RIT y sus implicaciones en seguridad y salud en el trabajo?
5. ¿Se realiza seguimiento periódico al cumplimiento de Ley 1429 de 2010 formalización y generación de empleo art 17 objeciones al RIT, art 18 descuentos prohibidos, art 22 publicación del RIT, dejando soportes de las revisiones y acciones de mejora cuando se identifican brechas?
6. ¿Los cambios o reformas a Ley 1429 de 2010 formalización y generación de empleo art 17 objeciones al RIT, art 18 descuentos prohibidos, art 22 publicación del RIT se registran oportunamente en la matriz legal y se comunican a los procesos impactados?</t>
  </si>
  <si>
    <t>Incapacidades-
Reubicación</t>
  </si>
  <si>
    <t>Decreto 1295/94- Art 39 y 45 Reubicación trabajadores incapacitados.</t>
  </si>
  <si>
    <t>1. ¿El SG-SST incorpora los requisitos establecidos en Decreto 1295/94- Art 39 y 45 Reubicación trabajadores incapacitados. dentro de sus procedimientos, estándares y controles operativos?
2. ¿Se cuenta con documentación actualizada (procedimientos, instructivos, protocolos) que evidencie la implementación de lo definido en Decreto 1295/94- Art 39 y 45 Reubicación trabajadores incapacitados.?
3. ¿Se verifica de manera periódica el cumplimiento de Decreto 1295/94- Art 39 y 45 Reubicación trabajadores incapacitados. en auditorías internas, inspecciones o revisiones de la matriz legal?
4. ¿Los responsables de cada proceso conocen las obligaciones derivadas de Decreto 1295/94- Art 39 y 45 Reubicación trabajadores incapacitados. que les aplican y cuentan con los recursos para cumplirlas?
5. ¿Se conservan registros (informes, actas, listas de verificación, reportes) que demuestren la aplicación práctica de Decreto 1295/94- Art 39 y 45 Reubicación trabajadores incapacitados. en la empresa?
6. ¿Las actualizaciones o derogatorias relacionadas con Decreto 1295/94- Art 39 y 45 Reubicación trabajadores incapacitados. se reflejan oportunamente en la matriz legal y en los documentos del SG-SST?</t>
  </si>
  <si>
    <t>Decreto 2351 de 1965 (Art. 16). Ley 2663 de 1950 CST (Art. 283),  Ley 776/02. Decreto 019/12 art. 142(cumplidos los 1°s 180 días de incapacidad.</t>
  </si>
  <si>
    <t>1. ¿El SG-SST incorpora los requisitos establecidos en Decreto 2351 de 1965 (Art. 16). Ley 2663 de 1950 CST (Art. 283), Ley 776/02. Decreto 019/12 art. 142(cumplidos los 1°s 180 días de incapacidad. dentro de sus procedimientos, estándares y controles operativos?
2. ¿Se cuenta con documentación actualizada (procedimientos, instructivos, protocolos) que evidencie la implementación de lo definido en Decreto 2351 de 1965 (Art. 16). Ley 2663 de 1950 CST (Art. 283), Ley 776/02. Decreto 019/12 art. 142(cumplidos los 1°s 180 días de incapacidad.?
3. ¿Se verifica de manera periódica el cumplimiento de Decreto 2351 de 1965 (Art. 16). Ley 2663 de 1950 CST (Art. 283), Ley 776/02. Decreto 019/12 art. 142(cumplidos los 1°s 180 días de incapacidad. en auditorías internas, inspecciones o revisiones de la matriz legal?
4. ¿Los responsables de cada proceso conocen las obligaciones derivadas de Decreto 2351 de 1965 (Art. 16). Ley 2663 de 1950 CST (Art. 283), Ley 776/02. Decreto 019/12 art. 142(cumplidos los 1°s 180 días de incapacidad. que les aplican y cuentan con los recursos para cumplirlas?
5. ¿Se conservan registros (informes, actas, listas de verificación, reportes) que demuestren la aplicación práctica de Decreto 2351 de 1965 (Art. 16). Ley 2663 de 1950 CST (Art. 283), Ley 776/02. Decreto 019/12 art. 142(cumplidos los 1°s 180 días de incapacidad. en la empresa?
6. ¿Las actualizaciones o derogatorias relacionadas con Decreto 2351 de 1965 (Art. 16). Ley 2663 de 1950 CST (Art. 283), Ley 776/02. Decreto 019/12 art. 142(cumplidos los 1°s 180 días de incapacidad. se reflejan oportunamente en la matriz legal y en los documentos del SG-SST?</t>
  </si>
  <si>
    <t>Ley 2663 de 1950 CST (Art. 283)</t>
  </si>
  <si>
    <t>1. ¿La empresa ha identificado y documentado en la matriz legal las obligaciones derivadas de Ley 2663 de 1950 CST (Art. 283) y su relación con el SG-SST?
2. ¿Las políticas, procedimientos y programas del SG-SST incorporan de forma explícita los lineamientos establecidos en Ley 2663 de 1950 CST (Art. 283)?
3. ¿Existe evidencia documental (actas, comunicaciones, registros, contratos, entre otros) que demuestre la aplicación de Ley 2663 de 1950 CST (Art. 283) en la organización?
4. ¿Se ha socializado con trabajadores, líderes y responsables del SG-SST el contenido y alcance de Ley 2663 de 1950 CST (Art. 283) y sus implicaciones en seguridad y salud en el trabajo?
5. ¿Se realiza seguimiento periódico al cumplimiento de Ley 2663 de 1950 CST (Art. 283), dejando soportes de las revisiones y acciones de mejora cuando se identifican brechas?
6. ¿Los cambios o reformas a Ley 2663 de 1950 CST (Art. 283) se registran oportunamente en la matriz legal y se comunican a los procesos impactados?</t>
  </si>
  <si>
    <t xml:space="preserve">Ley 776/02. </t>
  </si>
  <si>
    <t>1. ¿La empresa ha identificado y documentado en la matriz legal las obligaciones derivadas de Ley 776/02. y su relación con el SG-SST?
2. ¿Las políticas, procedimientos y programas del SG-SST incorporan de forma explícita los lineamientos establecidos en Ley 776/02.?
3. ¿Existe evidencia documental (actas, comunicaciones, registros, contratos, entre otros) que demuestre la aplicación de Ley 776/02. en la organización?
4. ¿Se ha socializado con trabajadores, líderes y responsables del SG-SST el contenido y alcance de Ley 776/02. y sus implicaciones en seguridad y salud en el trabajo?
5. ¿Se realiza seguimiento periódico al cumplimiento de Ley 776/02., dejando soportes de las revisiones y acciones de mejora cuando se identifican brechas?
6. ¿Los cambios o reformas a Ley 776/02. se registran oportunamente en la matriz legal y se comunican a los procesos impactados?</t>
  </si>
  <si>
    <t>Decreto 019/12 art. 142(cumplidos los 1°s 180 días de incapacidad.</t>
  </si>
  <si>
    <t>1. ¿El SG-SST incorpora los requisitos establecidos en Decreto 019/12 art. 142(cumplidos los 1°s 180 días de incapacidad. dentro de sus procedimientos, estándares y controles operativos?
2. ¿Se cuenta con documentación actualizada (procedimientos, instructivos, protocolos) que evidencie la implementación de lo definido en Decreto 019/12 art. 142(cumplidos los 1°s 180 días de incapacidad.?
3. ¿Se verifica de manera periódica el cumplimiento de Decreto 019/12 art. 142(cumplidos los 1°s 180 días de incapacidad. en auditorías internas, inspecciones o revisiones de la matriz legal?
4. ¿Los responsables de cada proceso conocen las obligaciones derivadas de Decreto 019/12 art. 142(cumplidos los 1°s 180 días de incapacidad. que les aplican y cuentan con los recursos para cumplirlas?
5. ¿Se conservan registros (informes, actas, listas de verificación, reportes) que demuestren la aplicación práctica de Decreto 019/12 art. 142(cumplidos los 1°s 180 días de incapacidad. en la empresa?
6. ¿Las actualizaciones o derogatorias relacionadas con Decreto 019/12 art. 142(cumplidos los 1°s 180 días de incapacidad. se reflejan oportunamente en la matriz legal y en los documentos del SG-SST?</t>
  </si>
  <si>
    <t>Decreto 1333 27/07/18 Reglamenta las incapacidades superiores a 540 días, los aportantes  no podrán deducir de las cotizaciones en salud los valores correspondientes a incapacidades por EG  y LM licencias de maternidad y/o paternidad.</t>
  </si>
  <si>
    <t>1. ¿El SG-SST incorpora los requisitos establecidos en Decreto 1333 27/07/18 Reglamenta las incapacidades superiores a 540 días, los aportantes no podrán deducir de las cotizaciones en salud los valores correspondientes a incapacidades por EG y LM licencias de maternidad y/o paternidad. dentro de sus procedimientos, estándares y controles operativos?
2. ¿Se cuenta con documentación actualizada (procedimientos, instructivos, protocolos) que evidencie la implementación de lo definido en Decreto 1333 27/07/18 Reglamenta las incapacidades superiores a 540 días, los aportantes no podrán deducir de las cotizaciones en salud los valores correspondientes a incapacidades por EG y LM licencias de maternidad y/o paternidad.?
3. ¿Se verifica de manera periódica el cumplimiento de Decreto 1333 27/07/18 Reglamenta las incapacidades superiores a 540 días, los aportantes no podrán deducir de las cotizaciones en salud los valores correspondientes a incapacidades por EG y LM licencias de maternidad y/o paternidad. en auditorías internas, inspecciones o revisiones de la matriz legal?
4. ¿Los responsables de cada proceso conocen las obligaciones derivadas de Decreto 1333 27/07/18 Reglamenta las incapacidades superiores a 540 días, los aportantes no podrán deducir de las cotizaciones en salud los valores correspondientes a incapacidades por EG y LM licencias de maternidad y/o paternidad. que les aplican y cuentan con los recursos para cumplirlas?
5. ¿Se conservan registros (informes, actas, listas de verificación, reportes) que demuestren la aplicación práctica de Decreto 1333 27/07/18 Reglamenta las incapacidades superiores a 540 días, los aportantes no podrán deducir de las cotizaciones en salud los valores correspondientes a incapacidades por EG y LM licencias de maternidad y/o paternidad. en la empresa?
6. ¿Las actualizaciones o derogatorias relacionadas con Decreto 1333 27/07/18 Reglamenta las incapacidades superiores a 540 días, los aportantes no podrán deducir de las cotizaciones en salud los valores correspondientes a incapacidades por EG y LM licencias de maternidad y/o paternidad. se reflejan oportunamente en la matriz legal y en los documentos del SG-SST?</t>
  </si>
  <si>
    <t>Circular 010 de 3-02-2017 Reconocimiento de incapacidad. Cuando ésta sea por riesgos laboral, después de 540 días, la ARL paga también salud y pensión</t>
  </si>
  <si>
    <t>1. ¿La empresa conoce y ha analizado los lineamientos impartidos en Circular 010 de 3-02-2017 Reconocimiento de incapacidad. Cuando ésta sea por riesgos laboral, después de 540 días, la ARL paga también salud y pensión frente a su actividad y condiciones de trabajo?
2. ¿Se han incorporado en los procedimientos internos las orientaciones y criterios definidos en Circular 010 de 3-02-2017 Reconocimiento de incapacidad. Cuando ésta sea por riesgos laboral, después de 540 días, la ARL paga también salud y pensión?
3. ¿Existe evidencia de comunicación interna (correos, circulares, actas) sobre el contenido de Circular 010 de 3-02-2017 Reconocimiento de incapacidad. Cuando ésta sea por riesgos laboral, después de 540 días, la ARL paga también salud y pensión a las áreas responsables?
4. ¿Se verifica en auditorías o revisiones internas el cumplimiento de las instrucciones dadas en Circular 010 de 3-02-2017 Reconocimiento de incapacidad. Cuando ésta sea por riesgos laboral, después de 540 días, la ARL paga también salud y pensión?
5. ¿Los cambios o nuevas circulares que complementan o sustituyen a Circular 010 de 3-02-2017 Reconocimiento de incapacidad. Cuando ésta sea por riesgos laboral, después de 540 días, la ARL paga también salud y pensión se actualizan oportunamente en la matriz legal?
6. ¿Se conservan registros de las decisiones tomadas a partir de Circular 010 de 3-02-2017 Reconocimiento de incapacidad. Cuando ésta sea por riesgos laboral, después de 540 días, la ARL paga también salud y pensión en relación con el SG-SST?</t>
  </si>
  <si>
    <t>Decreto 1427 29 – 07- 2022 Minsalud Por el cual se sustituye el Título 3 de la Parte 2 del Libro 2 del Decreto 780 de 2016, se reglamentan las prestaciones económicas del SG- SSS y dictan otras disposiciones</t>
  </si>
  <si>
    <t>1. ¿El SG-SST incorpora los requisitos establecidos en Decreto 1427 29 – 07- 2022 Minsalud Por el cual se sustituye el Título 3 de la Parte 2 del Libro 2 del Decreto 780 de 2016, se reglamentan las prestaciones económicas del SG- SSS y dictan otras disposiciones dentro de sus procedimientos, estándares y controles operativos?
2. ¿Se cuenta con documentación actualizada (procedimientos, instructivos, protocolos) que evidencie la implementación de lo definido en Decreto 1427 29 – 07- 2022 Minsalud Por el cual se sustituye el Título 3 de la Parte 2 del Libro 2 del Decreto 780 de 2016, se reglamentan las prestaciones económicas del SG- SSS y dictan otras disposiciones?
3. ¿Se verifica de manera periódica el cumplimiento de Decreto 1427 29 – 07- 2022 Minsalud Por el cual se sustituye el Título 3 de la Parte 2 del Libro 2 del Decreto 780 de 2016, se reglamentan las prestaciones económicas del SG- SSS y dictan otras disposiciones en auditorías internas, inspecciones o revisiones de la matriz legal?
4. ¿Los responsables de cada proceso conocen las obligaciones derivadas de Decreto 1427 29 – 07- 2022 Minsalud Por el cual se sustituye el Título 3 de la Parte 2 del Libro 2 del Decreto 780 de 2016, se reglamentan las prestaciones económicas del SG- SSS y dictan otras disposiciones que les aplican y cuentan con los recursos para cumplirlas?
5. ¿Se conservan registros (informes, actas, listas de verificación, reportes) que demuestren la aplicación práctica de Decreto 1427 29 – 07- 2022 Minsalud Por el cual se sustituye el Título 3 de la Parte 2 del Libro 2 del Decreto 780 de 2016, se reglamentan las prestaciones económicas del SG- SSS y dictan otras disposiciones en la empresa?
6. ¿Las actualizaciones o derogatorias relacionadas con Decreto 1427 29 – 07- 2022 Minsalud Por el cual se sustituye el Título 3 de la Parte 2 del Libro 2 del Decreto 780 de 2016, se reglamentan las prestaciones económicas del SG- SSS y dictan otras disposiciones se reflejan oportunamente en la matriz legal y en los documentos del SG-SST?</t>
  </si>
  <si>
    <t>Decreto 2126 del 12-12-2023 Minsalud Por el cual se sustituyen los capítulos 1, 2, 3 Y 4 del Título 3 de la Parte 2 del Libro 2 del Decreto 780 de 2016, en relación con el reconocimiento y pago de las prestaciones económicas del Sistema General de Seguridad Social en Salud y se dictan otras disposiciones</t>
  </si>
  <si>
    <t>1. ¿El SG-SST incorpora los requisitos establecidos en Decreto 2126 del 12-12-2023 Minsalud Por el cual se sustituyen los capítulos 1, 2, 3 Y 4 del Título 3 de la Parte 2 del Libro 2 del Decreto 780 de 2016, en relación con el reconocimiento y pago de las prestaciones económicas del Sistema General de Seguridad Social en Salud y se dictan otras disposiciones dentro de sus procedimientos, estándares y controles operativos?
2. ¿Se cuenta con documentación actualizada (procedimientos, instructivos, protocolos) que evidencie la implementación de lo definido en Decreto 2126 del 12-12-2023 Minsalud Por el cual se sustituyen los capítulos 1, 2, 3 Y 4 del Título 3 de la Parte 2 del Libro 2 del Decreto 780 de 2016, en relación con el reconocimiento y pago de las prestaciones económicas del Sistema General de Seguridad Social en Salud y se dictan otras disposiciones?
3. ¿Se verifica de manera periódica el cumplimiento de Decreto 2126 del 12-12-2023 Minsalud Por el cual se sustituyen los capítulos 1, 2, 3 Y 4 del Título 3 de la Parte 2 del Libro 2 del Decreto 780 de 2016, en relación con el reconocimiento y pago de las prestaciones económicas del Sistema General de Seguridad Social en Salud y se dictan otras disposiciones en auditorías internas, inspecciones o revisiones de la matriz legal?
4. ¿Los responsables de cada proceso conocen las obligaciones derivadas de Decreto 2126 del 12-12-2023 Minsalud Por el cual se sustituyen los capítulos 1, 2, 3 Y 4 del Título 3 de la Parte 2 del Libro 2 del Decreto 780 de 2016, en relación con el reconocimiento y pago de las prestaciones económicas del Sistema General de Seguridad Social en Salud y se dictan otras disposiciones que les aplican y cuentan con los recursos para cumplirlas?
5. ¿Se conservan registros (informes, actas, listas de verificación, reportes) que demuestren la aplicación práctica de Decreto 2126 del 12-12-2023 Minsalud Por el cual se sustituyen los capítulos 1, 2, 3 Y 4 del Título 3 de la Parte 2 del Libro 2 del Decreto 780 de 2016, en relación con el reconocimiento y pago de las prestaciones económicas del Sistema General de Seguridad Social en Salud y se dictan otras disposiciones en la empresa?
6. ¿Las actualizaciones o derogatorias relacionadas con Decreto 2126 del 12-12-2023 Minsalud Por el cual se sustituyen los capítulos 1, 2, 3 Y 4 del Título 3 de la Parte 2 del Libro 2 del Decreto 780 de 2016, en relación con el reconocimiento y pago de las prestaciones económicas del Sistema General de Seguridad Social en Salud y se dictan otras disposiciones se reflejan oportunamente en la matriz legal y en los documentos del SG-SST?</t>
  </si>
  <si>
    <t>Capacitación</t>
  </si>
  <si>
    <t>Decreto 1295/94 Art 21g Capacitar a los empleados en temas alusivos a los propios peligros.</t>
  </si>
  <si>
    <t>1. ¿El SG-SST incorpora los requisitos establecidos en Decreto 1295/94 Art 21g Capacitar a los empleados en temas alusivos a los propios peligros. dentro de sus procedimientos, estándares y controles operativos?
2. ¿Se cuenta con documentación actualizada (procedimientos, instructivos, protocolos) que evidencie la implementación de lo definido en Decreto 1295/94 Art 21g Capacitar a los empleados en temas alusivos a los propios peligros.?
3. ¿Se verifica de manera periódica el cumplimiento de Decreto 1295/94 Art 21g Capacitar a los empleados en temas alusivos a los propios peligros. en auditorías internas, inspecciones o revisiones de la matriz legal?
4. ¿Los responsables de cada proceso conocen las obligaciones derivadas de Decreto 1295/94 Art 21g Capacitar a los empleados en temas alusivos a los propios peligros. que les aplican y cuentan con los recursos para cumplirlas?
5. ¿Se conservan registros (informes, actas, listas de verificación, reportes) que demuestren la aplicación práctica de Decreto 1295/94 Art 21g Capacitar a los empleados en temas alusivos a los propios peligros. en la empresa?
6. ¿Las actualizaciones o derogatorias relacionadas con Decreto 1295/94 Art 21g Capacitar a los empleados en temas alusivos a los propios peligros. se reflejan oportunamente en la matriz legal y en los documentos del SG-SST?</t>
  </si>
  <si>
    <t>Resolución 2400 de 1979 (Art. 2g,Inducción, 2d)</t>
  </si>
  <si>
    <t>1. ¿La empresa ha identificado los requisitos específicos de Resolución 2400 de 1979 (Art. 2g,Inducción, 2d) que aplican a su actividad económica y tamaño?
2. ¿Se dispone de procedimientos, instructivos o formatos que permitan cumplir con las exigencias técnicas y administrativas de Resolución 2400 de 1979 (Art. 2g,Inducción, 2d)?
3. ¿Existen registros (informes, actas, listados, certificados, reportes en plataformas) que evidencien el cumplimiento de Resolución 2400 de 1979 (Art. 2g,Inducción, 2d)?
4. ¿Los responsables del SG-SST realizan seguimiento periódico a los ítems de Resolución 2400 de 1979 (Art. 2g,Inducción, 2d) incluidos en la matriz legal y documentan los resultados?
5. ¿Se han comunicado los requisitos de Resolución 2400 de 1979 (Art. 2g,Inducción, 2d) a los trabajadores, contratistas y proveedores que se ven impactados por esta norma?
6. ¿Las no conformidades asociadas al cumplimiento de Resolución 2400 de 1979 (Art. 2g,Inducción, 2d) generan acciones correctivas o de mejora con responsables y fechas definidas?</t>
  </si>
  <si>
    <t>Ley 378 de 1997 (Art. 13).</t>
  </si>
  <si>
    <t>1. ¿La empresa ha identificado y documentado en la matriz legal las obligaciones derivadas de Ley 378 de 1997 (Art. 13). y su relación con el SG-SST?
2. ¿Las políticas, procedimientos y programas del SG-SST incorporan de forma explícita los lineamientos establecidos en Ley 378 de 1997 (Art. 13).?
3. ¿Existe evidencia documental (actas, comunicaciones, registros, contratos, entre otros) que demuestre la aplicación de Ley 378 de 1997 (Art. 13). en la organización?
4. ¿Se ha socializado con trabajadores, líderes y responsables del SG-SST el contenido y alcance de Ley 378 de 1997 (Art. 13). y sus implicaciones en seguridad y salud en el trabajo?
5. ¿Se realiza seguimiento periódico al cumplimiento de Ley 378 de 1997 (Art. 13)., dejando soportes de las revisiones y acciones de mejora cuando se identifican brechas?
6. ¿Los cambios o reformas a Ley 378 de 1997 (Art. 13). se registran oportunamente en la matriz legal y se comunican a los procesos impactados?</t>
  </si>
  <si>
    <t>Constitución política de 1991 (Art. 54)</t>
  </si>
  <si>
    <t>Decreto 1127 de 1991 (Art. 5)</t>
  </si>
  <si>
    <t>1. ¿El SG-SST incorpora los requisitos establecidos en Decreto 1127 de 1991 (Art. 5) dentro de sus procedimientos, estándares y controles operativos?
2. ¿Se cuenta con documentación actualizada (procedimientos, instructivos, protocolos) que evidencie la implementación de lo definido en Decreto 1127 de 1991 (Art. 5)?
3. ¿Se verifica de manera periódica el cumplimiento de Decreto 1127 de 1991 (Art. 5) en auditorías internas, inspecciones o revisiones de la matriz legal?
4. ¿Los responsables de cada proceso conocen las obligaciones derivadas de Decreto 1127 de 1991 (Art. 5) que les aplican y cuentan con los recursos para cumplirlas?
5. ¿Se conservan registros (informes, actas, listas de verificación, reportes) que demuestren la aplicación práctica de Decreto 1127 de 1991 (Art. 5) en la empresa?
6. ¿Las actualizaciones o derogatorias relacionadas con Decreto 1127 de 1991 (Art. 5) se reflejan oportunamente en la matriz legal y en los documentos del SG-SST?</t>
  </si>
  <si>
    <t>Decisión 584 de 2004 (Art. 11i,11h)</t>
  </si>
  <si>
    <t>1. ¿La empresa ha registrado en la matriz legal las obligaciones derivadas de Decisión 584 de 2004 (Art. 11i,11h) y ha definido su aplicabilidad?
2. ¿Los procedimientos y controles del SG-SST contemplan lo establecido en Decisión 584 de 2004 (Art. 11i,11h) para las actividades y procesos de la organización?
3. ¿Existe evidencia documental (registros, informes, actas, comunicaciones) que demuestre la aplicación de Decisión 584 de 2004 (Art. 11i,11h)?
4. ¿Se ha socializado el contenido de Decisión 584 de 2004 (Art. 11i,11h) con los responsables de cada proceso y con los trabajadores cuando es pertinente?
5. ¿Se revisa periódicamente el cumplimiento de Decisión 584 de 2004 (Art. 11i,11h) y se generan planes de acción cuando se identifican desviaciones?
6. ¿La matriz legal se mantiene actualizada frente a modificaciones, derogatorias o nuevas disposiciones relacionadas con Decisión 584 de 2004 (Art. 11i,11h)?</t>
  </si>
  <si>
    <t>D.1072/15 Programa de capacitación anual, Resolución 4927 del 23-11-2016, Parámetros y requisitos para desarrollar certificar y registrar la capacitación virtual en el SGGSST Artículo 2.2.4.6.11. Capacitación en seguridad y salud en el trabajo – SST.</t>
  </si>
  <si>
    <t>1. ¿El SG-SST incorpora los requisitos establecidos en D.1072/15 Programa de capacitación anual, Resolución 4927 del 23-11-2016, Parámetros y requisitos para desarrollar certificar y registrar la capacitación virtual en el SGGSST Artículo 2.2.4.6.11. Capacitación en seguridad y salud en el trabajo – SST. dentro de sus procedimientos, estándares y controles operativos?
2. ¿Se cuenta con documentación actualizada (procedimientos, instructivos, protocolos) que evidencie la implementación de lo definido en D.1072/15 Programa de capacitación anual, Resolución 4927 del 23-11-2016, Parámetros y requisitos para desarrollar certificar y registrar la capacitación virtual en el SGGSST Artículo 2.2.4.6.11. Capacitación en seguridad y salud en el trabajo – SST.?
3. ¿Se verifica de manera periódica el cumplimiento de D.1072/15 Programa de capacitación anual, Resolución 4927 del 23-11-2016, Parámetros y requisitos para desarrollar certificar y registrar la capacitación virtual en el SGGSST Artículo 2.2.4.6.11. Capacitación en seguridad y salud en el trabajo – SST. en auditorías internas, inspecciones o revisiones de la matriz legal?
4. ¿Los responsables de cada proceso conocen las obligaciones derivadas de D.1072/15 Programa de capacitación anual, Resolución 4927 del 23-11-2016, Parámetros y requisitos para desarrollar certificar y registrar la capacitación virtual en el SGGSST Artículo 2.2.4.6.11. Capacitación en seguridad y salud en el trabajo – SST. que les aplican y cuentan con los recursos para cumplirlas?
5. ¿Se conservan registros (informes, actas, listas de verificación, reportes) que demuestren la aplicación práctica de D.1072/15 Programa de capacitación anual, Resolución 4927 del 23-11-2016, Parámetros y requisitos para desarrollar certificar y registrar la capacitación virtual en el SGGSST Artículo 2.2.4.6.11. Capacitación en seguridad y salud en el trabajo – SST. en la empresa?
6. ¿Las actualizaciones o derogatorias relacionadas con D.1072/15 Programa de capacitación anual, Resolución 4927 del 23-11-2016, Parámetros y requisitos para desarrollar certificar y registrar la capacitación virtual en el SGGSST Artículo 2.2.4.6.11. Capacitación en seguridad y salud en el trabajo – SST. se reflejan oportunamente en la matriz legal y en los documentos del SG-SST?</t>
  </si>
  <si>
    <t>Circular 63 del 7-10-2020 Actualización de la capacitación virtual gratuita del SG-SST</t>
  </si>
  <si>
    <t>1. ¿La empresa conoce y ha analizado los lineamientos impartidos en Circular 63 del 7-10-2020 Actualización de la capacitación virtual gratuita del SG-SST frente a su actividad y condiciones de trabajo?
2. ¿Se han incorporado en los procedimientos internos las orientaciones y criterios definidos en Circular 63 del 7-10-2020 Actualización de la capacitación virtual gratuita del SG-SST?
3. ¿Existe evidencia de comunicación interna (correos, circulares, actas) sobre el contenido de Circular 63 del 7-10-2020 Actualización de la capacitación virtual gratuita del SG-SST a las áreas responsables?
4. ¿Se verifica en auditorías o revisiones internas el cumplimiento de las instrucciones dadas en Circular 63 del 7-10-2020 Actualización de la capacitación virtual gratuita del SG-SST?
5. ¿Los cambios o nuevas circulares que complementan o sustituyen a Circular 63 del 7-10-2020 Actualización de la capacitación virtual gratuita del SG-SST se actualizan oportunamente en la matriz legal?
6. ¿Se conservan registros de las decisiones tomadas a partir de Circular 63 del 7-10-2020 Actualización de la capacitación virtual gratuita del SG-SST en relación con el SG-SST?</t>
  </si>
  <si>
    <t>Ley 2120 30-07-2021 Congreso adopta medidas para fomentar entornos alimentarios saludables y prevenir enfermedades no transmisibles y se adoptan otras disposiciones Art. 12 Implementación de entornos laborales saludables</t>
  </si>
  <si>
    <t>1. ¿La empresa ha identificado y documentado en la matriz legal las obligaciones derivadas de Ley 2120 30-07-2021 Congreso adopta medidas para fomentar entornos alimentarios saludables y prevenir enfermedades no transmisibles y se adoptan otras disposiciones Art. 12 Implementación de entornos laborales saludables y su relación con el SG-SST?
2. ¿Las políticas, procedimientos y programas del SG-SST incorporan de forma explícita los lineamientos establecidos en Ley 2120 30-07-2021 Congreso adopta medidas para fomentar entornos alimentarios saludables y prevenir enfermedades no transmisibles y se adoptan otras disposiciones Art. 12 Implementación de entornos laborales saludables?
3. ¿Existe evidencia documental (actas, comunicaciones, registros, contratos, entre otros) que demuestre la aplicación de Ley 2120 30-07-2021 Congreso adopta medidas para fomentar entornos alimentarios saludables y prevenir enfermedades no transmisibles y se adoptan otras disposiciones Art. 12 Implementación de entornos laborales saludables en la organización?
4. ¿Se ha socializado con trabajadores, líderes y responsables del SG-SST el contenido y alcance de Ley 2120 30-07-2021 Congreso adopta medidas para fomentar entornos alimentarios saludables y prevenir enfermedades no transmisibles y se adoptan otras disposiciones Art. 12 Implementación de entornos laborales saludables y sus implicaciones en seguridad y salud en el trabajo?
5. ¿Se realiza seguimiento periódico al cumplimiento de Ley 2120 30-07-2021 Congreso adopta medidas para fomentar entornos alimentarios saludables y prevenir enfermedades no transmisibles y se adoptan otras disposiciones Art. 12 Implementación de entornos laborales saludables, dejando soportes de las revisiones y acciones de mejora cuando se identifican brechas?
6. ¿Los cambios o reformas a Ley 2120 30-07-2021 Congreso adopta medidas para fomentar entornos alimentarios saludables y prevenir enfermedades no transmisibles y se adoptan otras disposiciones Art. 12 Implementación de entornos laborales saludables se registran oportunamente en la matriz legal y se comunican a los procesos impactados?</t>
  </si>
  <si>
    <t>Circular 47 del 22-04-2025 Mintrabajo Actualización curso 50/20 horas del SG-SST</t>
  </si>
  <si>
    <t>1. ¿La empresa conoce y ha analizado los lineamientos impartidos en Circular 47 del 22-04-2025 Mintrabajo Actualización curso 50/20 horas del SG-SST frente a su actividad y condiciones de trabajo?
2. ¿Se han incorporado en los procedimientos internos las orientaciones y criterios definidos en Circular 47 del 22-04-2025 Mintrabajo Actualización curso 50/20 horas del SG-SST?
3. ¿Existe evidencia de comunicación interna (correos, circulares, actas) sobre el contenido de Circular 47 del 22-04-2025 Mintrabajo Actualización curso 50/20 horas del SG-SST a las áreas responsables?
4. ¿Se verifica en auditorías o revisiones internas el cumplimiento de las instrucciones dadas en Circular 47 del 22-04-2025 Mintrabajo Actualización curso 50/20 horas del SG-SST?
5. ¿Los cambios o nuevas circulares que complementan o sustituyen a Circular 47 del 22-04-2025 Mintrabajo Actualización curso 50/20 horas del SG-SST se actualizan oportunamente en la matriz legal?
6. ¿Se conservan registros de las decisiones tomadas a partir de Circular 47 del 22-04-2025 Mintrabajo Actualización curso 50/20 horas del SG-SST en relación con el SG-SST?</t>
  </si>
  <si>
    <t>Decreto 539 de 2022 Por el cual se expide el Reglamento de Higiene y Seguridad en las Labores Mineras a Cielo Abierto art 13, 23,24, 26, 27</t>
  </si>
  <si>
    <t>1. ¿El SG-SST incorpora los requisitos establecidos en Decreto 539 de 2022 Por el cual se expide el Reglamento de Higiene y Seguridad en las Labores Mineras a Cielo Abierto art 13, 23,24, 26, 27 dentro de sus procedimientos, estándares y controles operativos?
2. ¿Se cuenta con documentación actualizada (procedimientos, instructivos, protocolos) que evidencie la implementación de lo definido en Decreto 539 de 2022 Por el cual se expide el Reglamento de Higiene y Seguridad en las Labores Mineras a Cielo Abierto art 13, 23,24, 26, 27?
3. ¿Se verifica de manera periódica el cumplimiento de Decreto 539 de 2022 Por el cual se expide el Reglamento de Higiene y Seguridad en las Labores Mineras a Cielo Abierto art 13, 23,24, 26, 27 en auditorías internas, inspecciones o revisiones de la matriz legal?
4. ¿Los responsables de cada proceso conocen las obligaciones derivadas de Decreto 539 de 2022 Por el cual se expide el Reglamento de Higiene y Seguridad en las Labores Mineras a Cielo Abierto art 13, 23,24, 26, 27 que les aplican y cuentan con los recursos para cumplirlas?
5. ¿Se conservan registros (informes, actas, listas de verificación, reportes) que demuestren la aplicación práctica de Decreto 539 de 2022 Por el cual se expide el Reglamento de Higiene y Seguridad en las Labores Mineras a Cielo Abierto art 13, 23,24, 26, 27 en la empresa?
6. ¿Las actualizaciones o derogatorias relacionadas con Decreto 539 de 2022 Por el cual se expide el Reglamento de Higiene y Seguridad en las Labores Mineras a Cielo Abierto art 13, 23,24, 26, 27 se reflejan oportunamente en la matriz legal y en los documentos del SG-SST?</t>
  </si>
  <si>
    <t>Afiliación al sistema de seguridad social</t>
  </si>
  <si>
    <t xml:space="preserve">Decreto 1295/94  Art. 4 (c, d, e,)16, 21(a,b),  Afiliación a la seguridad social de todos los empleados por los valores reales. </t>
  </si>
  <si>
    <t>1. ¿El SG-SST incorpora los requisitos establecidos en Decreto 1295/94 Art. 4 (c, d, e,)16, 21(a,b), Afiliación a la seguridad social de todos los empleados por los valores reales. dentro de sus procedimientos, estándares y controles operativos?
2. ¿Se cuenta con documentación actualizada (procedimientos, instructivos, protocolos) que evidencie la implementación de lo definido en Decreto 1295/94 Art. 4 (c, d, e,)16, 21(a,b), Afiliación a la seguridad social de todos los empleados por los valores reales.?
3. ¿Se verifica de manera periódica el cumplimiento de Decreto 1295/94 Art. 4 (c, d, e,)16, 21(a,b), Afiliación a la seguridad social de todos los empleados por los valores reales. en auditorías internas, inspecciones o revisiones de la matriz legal?
4. ¿Los responsables de cada proceso conocen las obligaciones derivadas de Decreto 1295/94 Art. 4 (c, d, e,)16, 21(a,b), Afiliación a la seguridad social de todos los empleados por los valores reales. que les aplican y cuentan con los recursos para cumplirlas?
5. ¿Se conservan registros (informes, actas, listas de verificación, reportes) que demuestren la aplicación práctica de Decreto 1295/94 Art. 4 (c, d, e,)16, 21(a,b), Afiliación a la seguridad social de todos los empleados por los valores reales. en la empresa?
6. ¿Las actualizaciones o derogatorias relacionadas con Decreto 1295/94 Art. 4 (c, d, e,)16, 21(a,b), Afiliación a la seguridad social de todos los empleados por los valores reales. se reflejan oportunamente en la matriz legal y en los documentos del SG-SST?</t>
  </si>
  <si>
    <t>Ley 100 de 1993 (:Art.12, 16, 17,18 ,22).</t>
  </si>
  <si>
    <t>1. ¿La empresa ha identificado y documentado en la matriz legal las obligaciones derivadas de Ley 100 de 1993 (:Art.12, 16, 17,18 ,22). y su relación con el SG-SST?
2. ¿Las políticas, procedimientos y programas del SG-SST incorporan de forma explícita los lineamientos establecidos en Ley 100 de 1993 (:Art.12, 16, 17,18 ,22).?
3. ¿Existe evidencia documental (actas, comunicaciones, registros, contratos, entre otros) que demuestre la aplicación de Ley 100 de 1993 (:Art.12, 16, 17,18 ,22). en la organización?
4. ¿Se ha socializado con trabajadores, líderes y responsables del SG-SST el contenido y alcance de Ley 100 de 1993 (:Art.12, 16, 17,18 ,22). y sus implicaciones en seguridad y salud en el trabajo?
5. ¿Se realiza seguimiento periódico al cumplimiento de Ley 100 de 1993 (:Art.12, 16, 17,18 ,22)., dejando soportes de las revisiones y acciones de mejora cuando se identifican brechas?
6. ¿Los cambios o reformas a Ley 100 de 1993 (:Art.12, 16, 17,18 ,22). se registran oportunamente en la matriz legal y se comunican a los procesos impactados?</t>
  </si>
  <si>
    <t xml:space="preserve">Decreto USS 780 de 2016. </t>
  </si>
  <si>
    <t>1. ¿El SG-SST incorpora los requisitos establecidos en Decreto USS 780 de 2016. dentro de sus procedimientos, estándares y controles operativos?
2. ¿Se cuenta con documentación actualizada (procedimientos, instructivos, protocolos) que evidencie la implementación de lo definido en Decreto USS 780 de 2016.?
3. ¿Se verifica de manera periódica el cumplimiento de Decreto USS 780 de 2016. en auditorías internas, inspecciones o revisiones de la matriz legal?
4. ¿Los responsables de cada proceso conocen las obligaciones derivadas de Decreto USS 780 de 2016. que les aplican y cuentan con los recursos para cumplirlas?
5. ¿Se conservan registros (informes, actas, listas de verificación, reportes) que demuestren la aplicación práctica de Decreto USS 780 de 2016. en la empresa?
6. ¿Las actualizaciones o derogatorias relacionadas con Decreto USS 780 de 2016. se reflejan oportunamente en la matriz legal y en los documentos del SG-SST?</t>
  </si>
  <si>
    <t>Decreto 1406 de 1999 (Art. 41). D.1607/2002 Actividades económicas</t>
  </si>
  <si>
    <t>1. ¿El SG-SST incorpora los requisitos establecidos en Decreto 1406 de 1999 (Art. 41). D.1607/2002 Actividades económicas dentro de sus procedimientos, estándares y controles operativos?
2. ¿Se cuenta con documentación actualizada (procedimientos, instructivos, protocolos) que evidencie la implementación de lo definido en Decreto 1406 de 1999 (Art. 41). D.1607/2002 Actividades económicas?
3. ¿Se verifica de manera periódica el cumplimiento de Decreto 1406 de 1999 (Art. 41). D.1607/2002 Actividades económicas en auditorías internas, inspecciones o revisiones de la matriz legal?
4. ¿Los responsables de cada proceso conocen las obligaciones derivadas de Decreto 1406 de 1999 (Art. 41). D.1607/2002 Actividades económicas que les aplican y cuentan con los recursos para cumplirlas?
5. ¿Se conservan registros (informes, actas, listas de verificación, reportes) que demuestren la aplicación práctica de Decreto 1406 de 1999 (Art. 41). D.1607/2002 Actividades económicas en la empresa?
6. ¿Las actualizaciones o derogatorias relacionadas con Decreto 1406 de 1999 (Art. 41). D.1607/2002 Actividades económicas se reflejan oportunamente en la matriz legal y en los documentos del SG-SST?</t>
  </si>
  <si>
    <t xml:space="preserve">Decreto 993 de 2003 (Art. 5).  </t>
  </si>
  <si>
    <t>1. ¿El SG-SST incorpora los requisitos establecidos en Decreto 993 de 2003 (Art. 5). dentro de sus procedimientos, estándares y controles operativos?
2. ¿Se cuenta con documentación actualizada (procedimientos, instructivos, protocolos) que evidencie la implementación de lo definido en Decreto 993 de 2003 (Art. 5).?
3. ¿Se verifica de manera periódica el cumplimiento de Decreto 993 de 2003 (Art. 5). en auditorías internas, inspecciones o revisiones de la matriz legal?
4. ¿Los responsables de cada proceso conocen las obligaciones derivadas de Decreto 993 de 2003 (Art. 5). que les aplican y cuentan con los recursos para cumplirlas?
5. ¿Se conservan registros (informes, actas, listas de verificación, reportes) que demuestren la aplicación práctica de Decreto 993 de 2003 (Art. 5). en la empresa?
6. ¿Las actualizaciones o derogatorias relacionadas con Decreto 993 de 2003 (Art. 5). se reflejan oportunamente en la matriz legal y en los documentos del SG-SST?</t>
  </si>
  <si>
    <t>Circular unificada de 2004 (Art.B9 (a, b)</t>
  </si>
  <si>
    <t>1. ¿La empresa conoce y ha analizado los lineamientos impartidos en Circular unificada de 2004 (Art.B9 (a, b) frente a su actividad y condiciones de trabajo?
2. ¿Se han incorporado en los procedimientos internos las orientaciones y criterios definidos en Circular unificada de 2004 (Art.B9 (a, b)?
3. ¿Existe evidencia de comunicación interna (correos, circulares, actas) sobre el contenido de Circular unificada de 2004 (Art.B9 (a, b) a las áreas responsables?
4. ¿Se verifica en auditorías o revisiones internas el cumplimiento de las instrucciones dadas en Circular unificada de 2004 (Art.B9 (a, b)?
5. ¿Los cambios o nuevas circulares que complementan o sustituyen a Circular unificada de 2004 (Art.B9 (a, b) se actualizan oportunamente en la matriz legal?
6. ¿Se conservan registros de las decisiones tomadas a partir de Circular unificada de 2004 (Art.B9 (a, b) en relación con el SG-SST?</t>
  </si>
  <si>
    <t>D. 1072/15 art. 2.2.4.2.2.1  -  2.2.4.2.2.24</t>
  </si>
  <si>
    <t>1. ¿El SG-SST incorpora los requisitos establecidos en D. 1072/15 art. 2.2.4.2.2.1 - 2.2.4.2.2.24 dentro de sus procedimientos, estándares y controles operativos?
2. ¿Se cuenta con documentación actualizada (procedimientos, instructivos, protocolos) que evidencie la implementación de lo definido en D. 1072/15 art. 2.2.4.2.2.1 - 2.2.4.2.2.24?
3. ¿Se verifica de manera periódica el cumplimiento de D. 1072/15 art. 2.2.4.2.2.1 - 2.2.4.2.2.24 en auditorías internas, inspecciones o revisiones de la matriz legal?
4. ¿Los responsables de cada proceso conocen las obligaciones derivadas de D. 1072/15 art. 2.2.4.2.2.1 - 2.2.4.2.2.24 que les aplican y cuentan con los recursos para cumplirlas?
5. ¿Se conservan registros (informes, actas, listas de verificación, reportes) que demuestren la aplicación práctica de D. 1072/15 art. 2.2.4.2.2.1 - 2.2.4.2.2.24 en la empresa?
6. ¿Las actualizaciones o derogatorias relacionadas con D. 1072/15 art. 2.2.4.2.2.1 - 2.2.4.2.2.24 se reflejan oportunamente en la matriz legal y en los documentos del SG-SST?</t>
  </si>
  <si>
    <t>Resolución 2388 de 2016 Por la cual se unifican las reglas para el recaudo de aportes al SGSSI y Parafiscales</t>
  </si>
  <si>
    <t>1. ¿La empresa ha identificado los requisitos específicos de Resolución 2388 de 2016 Por la cual se unifican las reglas para el recaudo de aportes al SGSSI y Parafiscales que aplican a su actividad económica y tamaño?
2. ¿Se dispone de procedimientos, instructivos o formatos que permitan cumplir con las exigencias técnicas y administrativas de Resolución 2388 de 2016 Por la cual se unifican las reglas para el recaudo de aportes al SGSSI y Parafiscales?
3. ¿Existen registros (informes, actas, listados, certificados, reportes en plataformas) que evidencien el cumplimiento de Resolución 2388 de 2016 Por la cual se unifican las reglas para el recaudo de aportes al SGSSI y Parafiscales?
4. ¿Los responsables del SG-SST realizan seguimiento periódico a los ítems de Resolución 2388 de 2016 Por la cual se unifican las reglas para el recaudo de aportes al SGSSI y Parafiscales incluidos en la matriz legal y documentan los resultados?
5. ¿Se han comunicado los requisitos de Resolución 2388 de 2016 Por la cual se unifican las reglas para el recaudo de aportes al SGSSI y Parafiscales a los trabajadores, contratistas y proveedores que se ven impactados por esta norma?
6. ¿Las no conformidades asociadas al cumplimiento de Resolución 2388 de 2016 Por la cual se unifican las reglas para el recaudo de aportes al SGSSI y Parafiscales generan acciones correctivas o de mejora con responsables y fechas definidas?</t>
  </si>
  <si>
    <t>Decreto 780 de 2016, Único Reglamentario del Sector Salud y Protección Social</t>
  </si>
  <si>
    <t>1. ¿El SG-SST incorpora los requisitos establecidos en Decreto 780 de 2016, Único Reglamentario del Sector Salud y Protección Social dentro de sus procedimientos, estándares y controles operativos?
2. ¿Se cuenta con documentación actualizada (procedimientos, instructivos, protocolos) que evidencie la implementación de lo definido en Decreto 780 de 2016, Único Reglamentario del Sector Salud y Protección Social?
3. ¿Se verifica de manera periódica el cumplimiento de Decreto 780 de 2016, Único Reglamentario del Sector Salud y Protección Social en auditorías internas, inspecciones o revisiones de la matriz legal?
4. ¿Los responsables de cada proceso conocen las obligaciones derivadas de Decreto 780 de 2016, Único Reglamentario del Sector Salud y Protección Social que les aplican y cuentan con los recursos para cumplirlas?
5. ¿Se conservan registros (informes, actas, listas de verificación, reportes) que demuestren la aplicación práctica de Decreto 780 de 2016, Único Reglamentario del Sector Salud y Protección Social en la empresa?
6. ¿Las actualizaciones o derogatorias relacionadas con Decreto 780 de 2016, Único Reglamentario del Sector Salud y Protección Social se reflejan oportunamente en la matriz legal y en los documentos del SG-SST?</t>
  </si>
  <si>
    <t>Decreto 1406 de 1999 (Art. 41). D.1607/2002 Actividades económicas ,  Decreto 993 de 2003 (Art. 5).  Circular unificada de 2004 (Art.B9 (a, b), D. 1072/15 art. 2.2.4.2.2.1  -  2.2.4.2.2.24, D. 723/13 afiliación a Independientes y contratistas de contrato formal para actividades de alto riesgo, D. 1072/15 art. 2.2.4.2.1.1.   -  2.2.4.3.8 afiliación y escogencia, Decreto 780 de 2016, Único Reglamentario del Sector Salud y Protección Social,  Resolución 2388 de 2016 Por la cual se unifican las reglas para el recaudo de aportes al SGSSI y Parafiscales, R. 221 del 15-02-2024 Min salud Por la cual se modifican los Anexos Técnicos 2 y 3 de la Resolución 2388 de 2016</t>
  </si>
  <si>
    <t>1. ¿El SG-SST incorpora los requisitos establecidos en Decreto 1406 de 1999 (Art. 41). D.1607/2002 Actividades económicas , Decreto 993 de 2003 (Art. 5). Circular unificada de 2004 (Art.B9 (a, b), D. 1072/15 art. 2.2.4.2.2.1 - 2.2.4.2.2.24, D. 723/13 afiliación a Independientes y contratistas de contrato formal para actividades de alto riesgo, D. 1072/15 art. 2.2.4.2.1.1. - 2.2.4.3.8 afiliación y escogencia, Decreto 780 de 2016, Único Reglamentario del Sector Salud y Protección Social, Resolución 2388 de 2016 Por la cual se unifican las reglas para el recaudo de aportes al SGSSI y Parafiscales, R. 221 del 15-02-2024 Min salud Por la cual se modifican los Anexos Técnicos 2 y 3 de la Resolución 2388 de 2016 dentro de sus procedimientos, estándares y controles operativos?
2. ¿Se cuenta con documentación actualizada (procedimientos, instructivos, protocolos) que evidencie la implementación de lo definido en Decreto 1406 de 1999 (Art. 41). D.1607/2002 Actividades económicas , Decreto 993 de 2003 (Art. 5). Circular unificada de 2004 (Art.B9 (a, b), D. 1072/15 art. 2.2.4.2.2.1 - 2.2.4.2.2.24, D. 723/13 afiliación a Independientes y contratistas de contrato formal para actividades de alto riesgo, D. 1072/15 art. 2.2.4.2.1.1. - 2.2.4.3.8 afiliación y escogencia, Decreto 780 de 2016, Único Reglamentario del Sector Salud y Protección Social, Resolución 2388 de 2016 Por la cual se unifican las reglas para el recaudo de aportes al SGSSI y Parafiscales, R. 221 del 15-02-2024 Min salud Por la cual se modifican los Anexos Técnicos 2 y 3 de la Resolución 2388 de 2016?
3. ¿Se verifica de manera periódica el cumplimiento de Decreto 1406 de 1999 (Art. 41). D.1607/2002 Actividades económicas , Decreto 993 de 2003 (Art. 5). Circular unificada de 2004 (Art.B9 (a, b), D. 1072/15 art. 2.2.4.2.2.1 - 2.2.4.2.2.24, D. 723/13 afiliación a Independientes y contratistas de contrato formal para actividades de alto riesgo, D. 1072/15 art. 2.2.4.2.1.1. - 2.2.4.3.8 afiliación y escogencia, Decreto 780 de 2016, Único Reglamentario del Sector Salud y Protección Social, Resolución 2388 de 2016 Por la cual se unifican las reglas para el recaudo de aportes al SGSSI y Parafiscales, R. 221 del 15-02-2024 Min salud Por la cual se modifican los Anexos Técnicos 2 y 3 de la Resolución 2388 de 2016 en auditorías internas, inspecciones o revisiones de la matriz legal?
4. ¿Los responsables de cada proceso conocen las obligaciones derivadas de Decreto 1406 de 1999 (Art. 41). D.1607/2002 Actividades económicas , Decreto 993 de 2003 (Art. 5). Circular unificada de 2004 (Art.B9 (a, b), D. 1072/15 art. 2.2.4.2.2.1 - 2.2.4.2.2.24, D. 723/13 afiliación a Independientes y contratistas de contrato formal para actividades de alto riesgo, D. 1072/15 art. 2.2.4.2.1.1. - 2.2.4.3.8 afiliación y escogencia, Decreto 780 de 2016, Único Reglamentario del Sector Salud y Protección Social, Resolución 2388 de 2016 Por la cual se unifican las reglas para el recaudo de aportes al SGSSI y Parafiscales, R. 221 del 15-02-2024 Min salud Por la cual se modifican los Anexos Técnicos 2 y 3 de la Resolución 2388 de 2016 que les aplican y cuentan con los recursos para cumplirlas?
5. ¿Se conservan registros (informes, actas, listas de verificación, reportes) que demuestren la aplicación práctica de Decreto 1406 de 1999 (Art. 41). D.1607/2002 Actividades económicas , Decreto 993 de 2003 (Art. 5). Circular unificada de 2004 (Art.B9 (a, b), D. 1072/15 art. 2.2.4.2.2.1 - 2.2.4.2.2.24, D. 723/13 afiliación a Independientes y contratistas de contrato formal para actividades de alto riesgo, D. 1072/15 art. 2.2.4.2.1.1. - 2.2.4.3.8 afiliación y escogencia, Decreto 780 de 2016, Único Reglamentario del Sector Salud y Protección Social, Resolución 2388 de 2016 Por la cual se unifican las reglas para el recaudo de aportes al SGSSI y Parafiscales, R. 221 del 15-02-2024 Min salud Por la cual se modifican los Anexos Técnicos 2 y 3 de la Resolución 2388 de 2016 en la empresa?
6. ¿Las actualizaciones o derogatorias relacionadas con Decreto 1406 de 1999 (Art. 41). D.1607/2002 Actividades económicas , Decreto 993 de 2003 (Art. 5). Circular unificada de 2004 (Art.B9 (a, b), D. 1072/15 art. 2.2.4.2.2.1 - 2.2.4.2.2.24, D. 723/13 afiliación a Independientes y contratistas de contrato formal para actividades de alto riesgo, D. 1072/15 art. 2.2.4.2.1.1. - 2.2.4.3.8 afiliación y escogencia, Decreto 780 de 2016, Único Reglamentario del Sector Salud y Protección Social, Resolución 2388 de 2016 Por la cual se unifican las reglas para el recaudo de aportes al SGSSI y Parafiscales, R. 221 del 15-02-2024 Min salud Por la cual se modifican los Anexos Técnicos 2 y 3 de la Resolución 2388 de 2016 se reflejan oportunamente en la matriz legal y en los documentos del SG-SST?</t>
  </si>
  <si>
    <t>R. 221 del 15-02-2024 Min salud Por la cual se modifican los Anexos Técnicos 2 y 3 de la Resolución 2388 de 2016</t>
  </si>
  <si>
    <t>1. ¿La empresa ha registrado en la matriz legal las obligaciones derivadas de R. 221 del 15-02-2024 Min salud Por la cual se modifican los Anexos Técnicos 2 y 3 de la Resolución 2388 de 2016 y ha definido su aplicabilidad?
2. ¿Los procedimientos y controles del SG-SST contemplan lo establecido en R. 221 del 15-02-2024 Min salud Por la cual se modifican los Anexos Técnicos 2 y 3 de la Resolución 2388 de 2016 para las actividades y procesos de la organización?
3. ¿Existe evidencia documental (registros, informes, actas, comunicaciones) que demuestre la aplicación de R. 221 del 15-02-2024 Min salud Por la cual se modifican los Anexos Técnicos 2 y 3 de la Resolución 2388 de 2016?
4. ¿Se ha socializado el contenido de R. 221 del 15-02-2024 Min salud Por la cual se modifican los Anexos Técnicos 2 y 3 de la Resolución 2388 de 2016 con los responsables de cada proceso y con los trabajadores cuando es pertinente?
5. ¿Se revisa periódicamente el cumplimiento de R. 221 del 15-02-2024 Min salud Por la cual se modifican los Anexos Técnicos 2 y 3 de la Resolución 2388 de 2016 y se generan planes de acción cuando se identifican desviaciones?
6. ¿La matriz legal se mantiene actualizada frente a modificaciones, derogatorias o nuevas disposiciones relacionadas con R. 221 del 15-02-2024 Min salud Por la cual se modifican los Anexos Técnicos 2 y 3 de la Resolución 2388 de 2016?</t>
  </si>
  <si>
    <t>ley 1955 de 2019 en su artículo 244, Plan NAL de desarrollo, señala que todo trabajador independiente que obtenga ingresos netos mensuales iguales o superiores a un salario mínimo debe cotizar a seguridad social sobre el 40% de los ingresos mensuales  de la ley 2277 de 2022. artículo 89 Reforma tributaria IBC independientes, Resolución 978 del 20-06-2023 Min salud adopta el Formulario Único de Afiliación y Reporte de Novedades de los trabajadores dependientes, independientes y estudiantes al SGRL</t>
  </si>
  <si>
    <t>1. ¿La empresa ha identificado y documentado en la matriz legal las obligaciones derivadas de ley 1955 de 2019 en su artículo 244, Plan NAL de desarrollo, señala que todo trabajador independiente que obtenga ingresos netos mensuales iguales o superiores a un salario mínimo debe cotizar a seguridad social sobre el 40% de los ingresos mensuales de la ley 2277 de 2022. artículo 89 Reforma tributaria IBC independientes, Resolución 978 del 20-06-2023 Min salud adopta el Formulario Único de Afiliación y Reporte de Novedades de los trabajadores dependientes, independientes y estudiantes al SGRL y su relación con el SG-SST?
2. ¿Las políticas, procedimientos y programas del SG-SST incorporan de forma explícita los lineamientos establecidos en ley 1955 de 2019 en su artículo 244, Plan NAL de desarrollo, señala que todo trabajador independiente que obtenga ingresos netos mensuales iguales o superiores a un salario mínimo debe cotizar a seguridad social sobre el 40% de los ingresos mensuales de la ley 2277 de 2022. artículo 89 Reforma tributaria IBC independientes, Resolución 978 del 20-06-2023 Min salud adopta el Formulario Único de Afiliación y Reporte de Novedades de los trabajadores dependientes, independientes y estudiantes al SGRL?
3. ¿Existe evidencia documental (actas, comunicaciones, registros, contratos, entre otros) que demuestre la aplicación de ley 1955 de 2019 en su artículo 244, Plan NAL de desarrollo, señala que todo trabajador independiente que obtenga ingresos netos mensuales iguales o superiores a un salario mínimo debe cotizar a seguridad social sobre el 40% de los ingresos mensuales de la ley 2277 de 2022. artículo 89 Reforma tributaria IBC independientes, Resolución 978 del 20-06-2023 Min salud adopta el Formulario Único de Afiliación y Reporte de Novedades de los trabajadores dependientes, independientes y estudiantes al SGRL en la organización?
4. ¿Se ha socializado con trabajadores, líderes y responsables del SG-SST el contenido y alcance de ley 1955 de 2019 en su artículo 244, Plan NAL de desarrollo, señala que todo trabajador independiente que obtenga ingresos netos mensuales iguales o superiores a un salario mínimo debe cotizar a seguridad social sobre el 40% de los ingresos mensuales de la ley 2277 de 2022. artículo 89 Reforma tributaria IBC independientes, Resolución 978 del 20-06-2023 Min salud adopta el Formulario Único de Afiliación y Reporte de Novedades de los trabajadores dependientes, independientes y estudiantes al SGRL y sus implicaciones en seguridad y salud en el trabajo?
5. ¿Se realiza seguimiento periódico al cumplimiento de ley 1955 de 2019 en su artículo 244, Plan NAL de desarrollo, señala que todo trabajador independiente que obtenga ingresos netos mensuales iguales o superiores a un salario mínimo debe cotizar a seguridad social sobre el 40% de los ingresos mensuales de la ley 2277 de 2022. artículo 89 Reforma tributaria IBC independientes, Resolución 978 del 20-06-2023 Min salud adopta el Formulario Único de Afiliación y Reporte de Novedades de los trabajadores dependientes, independientes y estudiantes al SGRL, dejando soportes de las revisiones y acciones de mejora cuando se identifican brechas?
6. ¿Los cambios o reformas a ley 1955 de 2019 en su artículo 244, Plan NAL de desarrollo, señala que todo trabajador independiente que obtenga ingresos netos mensuales iguales o superiores a un salario mínimo debe cotizar a seguridad social sobre el 40% de los ingresos mensuales de la ley 2277 de 2022. artículo 89 Reforma tributaria IBC independientes, Resolución 978 del 20-06-2023 Min salud adopta el Formulario Único de Afiliación y Reporte de Novedades de los trabajadores dependientes, independientes y estudiantes al SGRL se registran oportunamente en la matriz legal y se comunican a los procesos impactados?</t>
  </si>
  <si>
    <t>Resolución 978 del 20-06-2023 Min salud adopta el Formulario Único de Afiliación y Reporte de Novedades de los trabajadores dependientes, independientes y estudiantes al SGRL</t>
  </si>
  <si>
    <t>1. ¿La empresa ha identificado los requisitos específicos de Resolución 978 del 20-06-2023 Min salud adopta el Formulario Único de Afiliación y Reporte de Novedades de los trabajadores dependientes, independientes y estudiantes al SGRL que aplican a su actividad económica y tamaño?
2. ¿Se dispone de procedimientos, instructivos o formatos que permitan cumplir con las exigencias técnicas y administrativas de Resolución 978 del 20-06-2023 Min salud adopta el Formulario Único de Afiliación y Reporte de Novedades de los trabajadores dependientes, independientes y estudiantes al SGRL?
3. ¿Existen registros (informes, actas, listados, certificados, reportes en plataformas) que evidencien el cumplimiento de Resolución 978 del 20-06-2023 Min salud adopta el Formulario Único de Afiliación y Reporte de Novedades de los trabajadores dependientes, independientes y estudiantes al SGRL?
4. ¿Los responsables del SG-SST realizan seguimiento periódico a los ítems de Resolución 978 del 20-06-2023 Min salud adopta el Formulario Único de Afiliación y Reporte de Novedades de los trabajadores dependientes, independientes y estudiantes al SGRL incluidos en la matriz legal y documentan los resultados?
5. ¿Se han comunicado los requisitos de Resolución 978 del 20-06-2023 Min salud adopta el Formulario Único de Afiliación y Reporte de Novedades de los trabajadores dependientes, independientes y estudiantes al SGRL a los trabajadores, contratistas y proveedores que se ven impactados por esta norma?
6. ¿Las no conformidades asociadas al cumplimiento de Resolución 978 del 20-06-2023 Min salud adopta el Formulario Único de Afiliación y Reporte de Novedades de los trabajadores dependientes, independientes y estudiantes al SGRL generan acciones correctivas o de mejora con responsables y fechas definidas?</t>
  </si>
  <si>
    <t>Resolución 1798 del 1-11 2023 Minsalud definen las condiciones generales para la operación del SGRL en el Sistema de Afiliación Transaccional —SAT para la afiliación obligatoria y voluntaria de trabajadores independientes</t>
  </si>
  <si>
    <t>1. ¿La empresa ha identificado los requisitos específicos de Resolución 1798 del 1-11 2023 Minsalud definen las condiciones generales para la operación del SGRL en el Sistema de Afiliación Transaccional —SAT para la afiliación obligatoria y voluntaria de trabajadores independientes que aplican a su actividad económica y tamaño?
2. ¿Se dispone de procedimientos, instructivos o formatos que permitan cumplir con las exigencias técnicas y administrativas de Resolución 1798 del 1-11 2023 Minsalud definen las condiciones generales para la operación del SGRL en el Sistema de Afiliación Transaccional —SAT para la afiliación obligatoria y voluntaria de trabajadores independientes?
3. ¿Existen registros (informes, actas, listados, certificados, reportes en plataformas) que evidencien el cumplimiento de Resolución 1798 del 1-11 2023 Minsalud definen las condiciones generales para la operación del SGRL en el Sistema de Afiliación Transaccional —SAT para la afiliación obligatoria y voluntaria de trabajadores independientes?
4. ¿Los responsables del SG-SST realizan seguimiento periódico a los ítems de Resolución 1798 del 1-11 2023 Minsalud definen las condiciones generales para la operación del SGRL en el Sistema de Afiliación Transaccional —SAT para la afiliación obligatoria y voluntaria de trabajadores independientes incluidos en la matriz legal y documentan los resultados?
5. ¿Se han comunicado los requisitos de Resolución 1798 del 1-11 2023 Minsalud definen las condiciones generales para la operación del SGRL en el Sistema de Afiliación Transaccional —SAT para la afiliación obligatoria y voluntaria de trabajadores independientes a los trabajadores, contratistas y proveedores que se ven impactados por esta norma?
6. ¿Las no conformidades asociadas al cumplimiento de Resolución 1798 del 1-11 2023 Minsalud definen las condiciones generales para la operación del SGRL en el Sistema de Afiliación Transaccional —SAT para la afiliación obligatoria y voluntaria de trabajadores independientes generan acciones correctivas o de mejora con responsables y fechas definidas?</t>
  </si>
  <si>
    <t>Resolución 14 7 del 29-01 de 2024 Min salud adopta el Formulario Único de Afiliación y Reporte de Novedades al SGRL. Resolución 1271 DE 2023 de 14-08-2023 por la cual se modifican los Anexos Técnicos 1, 2 y 3 de la Resolución número 2388 de 2016.</t>
  </si>
  <si>
    <t>1. ¿La empresa ha identificado los requisitos específicos de Resolución 14 7 del 29-01 de 2024 Min salud adopta el Formulario Único de Afiliación y Reporte de Novedades al SGRL. Resolución 1271 DE 2023 de 14-08-2023 por la cual se modifican los Anexos Técnicos 1, 2 y 3 de la Resolución número 2388 de 2016. que aplican a su actividad económica y tamaño?
2. ¿Se dispone de procedimientos, instructivos o formatos que permitan cumplir con las exigencias técnicas y administrativas de Resolución 14 7 del 29-01 de 2024 Min salud adopta el Formulario Único de Afiliación y Reporte de Novedades al SGRL. Resolución 1271 DE 2023 de 14-08-2023 por la cual se modifican los Anexos Técnicos 1, 2 y 3 de la Resolución número 2388 de 2016.?
3. ¿Existen registros (informes, actas, listados, certificados, reportes en plataformas) que evidencien el cumplimiento de Resolución 14 7 del 29-01 de 2024 Min salud adopta el Formulario Único de Afiliación y Reporte de Novedades al SGRL. Resolución 1271 DE 2023 de 14-08-2023 por la cual se modifican los Anexos Técnicos 1, 2 y 3 de la Resolución número 2388 de 2016.?
4. ¿Los responsables del SG-SST realizan seguimiento periódico a los ítems de Resolución 14 7 del 29-01 de 2024 Min salud adopta el Formulario Único de Afiliación y Reporte de Novedades al SGRL. Resolución 1271 DE 2023 de 14-08-2023 por la cual se modifican los Anexos Técnicos 1, 2 y 3 de la Resolución número 2388 de 2016. incluidos en la matriz legal y documentan los resultados?
5. ¿Se han comunicado los requisitos de Resolución 14 7 del 29-01 de 2024 Min salud adopta el Formulario Único de Afiliación y Reporte de Novedades al SGRL. Resolución 1271 DE 2023 de 14-08-2023 por la cual se modifican los Anexos Técnicos 1, 2 y 3 de la Resolución número 2388 de 2016. a los trabajadores, contratistas y proveedores que se ven impactados por esta norma?
6. ¿Las no conformidades asociadas al cumplimiento de Resolución 14 7 del 29-01 de 2024 Min salud adopta el Formulario Único de Afiliación y Reporte de Novedades al SGRL. Resolución 1271 DE 2023 de 14-08-2023 por la cual se modifican los Anexos Técnicos 1, 2 y 3 de la Resolución número 2388 de 2016. generan acciones correctivas o de mejora con responsables y fechas definidas?</t>
  </si>
  <si>
    <t>Resolución 1271 DE 2023 de 14-08-2023 por la cual se modifican los Anexos Técnicos 1, 2 y 3 de la Resolución número 2388 de 2016.</t>
  </si>
  <si>
    <t>1. ¿La empresa ha identificado los requisitos específicos de Resolución 1271 DE 2023 de 14-08-2023 por la cual se modifican los Anexos Técnicos 1, 2 y 3 de la Resolución número 2388 de 2016. que aplican a su actividad económica y tamaño?
2. ¿Se dispone de procedimientos, instructivos o formatos que permitan cumplir con las exigencias técnicas y administrativas de Resolución 1271 DE 2023 de 14-08-2023 por la cual se modifican los Anexos Técnicos 1, 2 y 3 de la Resolución número 2388 de 2016.?
3. ¿Existen registros (informes, actas, listados, certificados, reportes en plataformas) que evidencien el cumplimiento de Resolución 1271 DE 2023 de 14-08-2023 por la cual se modifican los Anexos Técnicos 1, 2 y 3 de la Resolución número 2388 de 2016.?
4. ¿Los responsables del SG-SST realizan seguimiento periódico a los ítems de Resolución 1271 DE 2023 de 14-08-2023 por la cual se modifican los Anexos Técnicos 1, 2 y 3 de la Resolución número 2388 de 2016. incluidos en la matriz legal y documentan los resultados?
5. ¿Se han comunicado los requisitos de Resolución 1271 DE 2023 de 14-08-2023 por la cual se modifican los Anexos Técnicos 1, 2 y 3 de la Resolución número 2388 de 2016. a los trabajadores, contratistas y proveedores que se ven impactados por esta norma?
6. ¿Las no conformidades asociadas al cumplimiento de Resolución 1271 DE 2023 de 14-08-2023 por la cual se modifican los Anexos Técnicos 1, 2 y 3 de la Resolución número 2388 de 2016. generan acciones correctivas o de mejora con responsables y fechas definidas?</t>
  </si>
  <si>
    <t>Resolución  221 del 15-02-2024 Min salud Por la cual se modifican los Anexos Técnicos 2 y 3 de la Resolución 2388 de 2016,  738 del 3-04-2024 Min salud por medio de la cual modifica el anexo técnico 2 de la Resolución 2388 de 2016. Esta nueva Resolución introduce cambios en la forma en la que los aportantes y operadores realizan la validación de los aportes al SGRL.</t>
  </si>
  <si>
    <t>1. ¿La empresa ha identificado los requisitos específicos de Resolución 221 del 15-02-2024 Min salud Por la cual se modifican los Anexos Técnicos 2 y 3 de la Resolución 2388 de 2016, 738 del 3-04-2024 Min salud por medio de la cual modifica el anexo técnico 2 de la Resolución 2388 de 2016. Esta nueva Resolución introduce cambios en la forma en la que los aportantes y operadores realizan la validación de los aportes al SGRL. que aplican a su actividad económica y tamaño?
2. ¿Se dispone de procedimientos, instructivos o formatos que permitan cumplir con las exigencias técnicas y administrativas de Resolución 221 del 15-02-2024 Min salud Por la cual se modifican los Anexos Técnicos 2 y 3 de la Resolución 2388 de 2016, 738 del 3-04-2024 Min salud por medio de la cual modifica el anexo técnico 2 de la Resolución 2388 de 2016. Esta nueva Resolución introduce cambios en la forma en la que los aportantes y operadores realizan la validación de los aportes al SGRL.?
3. ¿Existen registros (informes, actas, listados, certificados, reportes en plataformas) que evidencien el cumplimiento de Resolución 221 del 15-02-2024 Min salud Por la cual se modifican los Anexos Técnicos 2 y 3 de la Resolución 2388 de 2016, 738 del 3-04-2024 Min salud por medio de la cual modifica el anexo técnico 2 de la Resolución 2388 de 2016. Esta nueva Resolución introduce cambios en la forma en la que los aportantes y operadores realizan la validación de los aportes al SGRL.?
4. ¿Los responsables del SG-SST realizan seguimiento periódico a los ítems de Resolución 221 del 15-02-2024 Min salud Por la cual se modifican los Anexos Técnicos 2 y 3 de la Resolución 2388 de 2016, 738 del 3-04-2024 Min salud por medio de la cual modifica el anexo técnico 2 de la Resolución 2388 de 2016. Esta nueva Resolución introduce cambios en la forma en la que los aportantes y operadores realizan la validación de los aportes al SGRL. incluidos en la matriz legal y documentan los resultados?
5. ¿Se han comunicado los requisitos de Resolución 221 del 15-02-2024 Min salud Por la cual se modifican los Anexos Técnicos 2 y 3 de la Resolución 2388 de 2016, 738 del 3-04-2024 Min salud por medio de la cual modifica el anexo técnico 2 de la Resolución 2388 de 2016. Esta nueva Resolución introduce cambios en la forma en la que los aportantes y operadores realizan la validación de los aportes al SGRL. a los trabajadores, contratistas y proveedores que se ven impactados por esta norma?
6. ¿Las no conformidades asociadas al cumplimiento de Resolución 221 del 15-02-2024 Min salud Por la cual se modifican los Anexos Técnicos 2 y 3 de la Resolución 2388 de 2016, 738 del 3-04-2024 Min salud por medio de la cual modifica el anexo técnico 2 de la Resolución 2388 de 2016. Esta nueva Resolución introduce cambios en la forma en la que los aportantes y operadores realizan la validación de los aportes al SGRL. generan acciones correctivas o de mejora con responsables y fechas definidas?</t>
  </si>
  <si>
    <t>738 del 3-04-2024 Min salud por medio de la cual modifica el anexo técnico 2 de la Resolución 2388 de 2016. Esta nueva Resolución introduce cambios en la forma en la que los aportantes y operadores realizan la validación de los aportes al SGRL.</t>
  </si>
  <si>
    <t>1. ¿La empresa ha registrado en la matriz legal las obligaciones derivadas de 738 del 3-04-2024 Min salud por medio de la cual modifica el anexo técnico 2 de la Resolución 2388 de 2016. Esta nueva Resolución introduce cambios en la forma en la que los aportantes y operadores realizan la validación de los aportes al SGRL. y ha definido su aplicabilidad?
2. ¿Los procedimientos y controles del SG-SST contemplan lo establecido en 738 del 3-04-2024 Min salud por medio de la cual modifica el anexo técnico 2 de la Resolución 2388 de 2016. Esta nueva Resolución introduce cambios en la forma en la que los aportantes y operadores realizan la validación de los aportes al SGRL. para las actividades y procesos de la organización?
3. ¿Existe evidencia documental (registros, informes, actas, comunicaciones) que demuestre la aplicación de 738 del 3-04-2024 Min salud por medio de la cual modifica el anexo técnico 2 de la Resolución 2388 de 2016. Esta nueva Resolución introduce cambios en la forma en la que los aportantes y operadores realizan la validación de los aportes al SGRL.?
4. ¿Se ha socializado el contenido de 738 del 3-04-2024 Min salud por medio de la cual modifica el anexo técnico 2 de la Resolución 2388 de 2016. Esta nueva Resolución introduce cambios en la forma en la que los aportantes y operadores realizan la validación de los aportes al SGRL. con los responsables de cada proceso y con los trabajadores cuando es pertinente?
5. ¿Se revisa periódicamente el cumplimiento de 738 del 3-04-2024 Min salud por medio de la cual modifica el anexo técnico 2 de la Resolución 2388 de 2016. Esta nueva Resolución introduce cambios en la forma en la que los aportantes y operadores realizan la validación de los aportes al SGRL. y se generan planes de acción cuando se identifican desviaciones?
6. ¿La matriz legal se mantiene actualizada frente a modificaciones, derogatorias o nuevas disposiciones relacionadas con 738 del 3-04-2024 Min salud por medio de la cual modifica el anexo técnico 2 de la Resolución 2388 de 2016. Esta nueva Resolución introduce cambios en la forma en la que los aportantes y operadores realizan la validación de los aportes al SGRL.?</t>
  </si>
  <si>
    <t>Resolución  467 del 25-03-2025 Minsalud. Por medio de la cual se modifica la Resolución 2388 de 2016, “Por la cual se unifican las reglas para el recaudo de aportes al Sistema de Seguridad Social Integral y Parafiscales" Resolución 413 del 12-03-2025 Minsalud incorporan nuevas variables en la estructura de la Planilla Integrada de Liquidación de Aportes - PILA, relacionadas con: a. El contratante de trabajadores independientes, el tipo de aportante "Contratante”</t>
  </si>
  <si>
    <t>1. ¿La empresa ha identificado los requisitos específicos de Resolución 467 del 25-03-2025 Minsalud. Por medio de la cual se modifica la Resolución 2388 de 2016, “Por la cual se unifican las reglas para el recaudo de aportes al Sistema de Seguridad Social Integral y Parafiscales" Resolución 413 del 12-03-2025 Minsalud incorporan nuevas variables en la estructura de la Planilla Integrada de Liquidación de Aportes - PILA, relacionadas con: a. El contratante de trabajadores independientes, el tipo de aportante "Contratante” que aplican a su actividad económica y tamaño?
2. ¿Se dispone de procedimientos, instructivos o formatos que permitan cumplir con las exigencias técnicas y administrativas de Resolución 467 del 25-03-2025 Minsalud. Por medio de la cual se modifica la Resolución 2388 de 2016, “Por la cual se unifican las reglas para el recaudo de aportes al Sistema de Seguridad Social Integral y Parafiscales" Resolución 413 del 12-03-2025 Minsalud incorporan nuevas variables en la estructura de la Planilla Integrada de Liquidación de Aportes - PILA, relacionadas con: a. El contratante de trabajadores independientes, el tipo de aportante "Contratante”?
3. ¿Existen registros (informes, actas, listados, certificados, reportes en plataformas) que evidencien el cumplimiento de Resolución 467 del 25-03-2025 Minsalud. Por medio de la cual se modifica la Resolución 2388 de 2016, “Por la cual se unifican las reglas para el recaudo de aportes al Sistema de Seguridad Social Integral y Parafiscales" Resolución 413 del 12-03-2025 Minsalud incorporan nuevas variables en la estructura de la Planilla Integrada de Liquidación de Aportes - PILA, relacionadas con: a. El contratante de trabajadores independientes, el tipo de aportante "Contratante”?
4. ¿Los responsables del SG-SST realizan seguimiento periódico a los ítems de Resolución 467 del 25-03-2025 Minsalud. Por medio de la cual se modifica la Resolución 2388 de 2016, “Por la cual se unifican las reglas para el recaudo de aportes al Sistema de Seguridad Social Integral y Parafiscales" Resolución 413 del 12-03-2025 Minsalud incorporan nuevas variables en la estructura de la Planilla Integrada de Liquidación de Aportes - PILA, relacionadas con: a. El contratante de trabajadores independientes, el tipo de aportante "Contratante” incluidos en la matriz legal y documentan los resultados?
5. ¿Se han comunicado los requisitos de Resolución 467 del 25-03-2025 Minsalud. Por medio de la cual se modifica la Resolución 2388 de 2016, “Por la cual se unifican las reglas para el recaudo de aportes al Sistema de Seguridad Social Integral y Parafiscales" Resolución 413 del 12-03-2025 Minsalud incorporan nuevas variables en la estructura de la Planilla Integrada de Liquidación de Aportes - PILA, relacionadas con: a. El contratante de trabajadores independientes, el tipo de aportante "Contratante” a los trabajadores, contratistas y proveedores que se ven impactados por esta norma?
6. ¿Las no conformidades asociadas al cumplimiento de Resolución 467 del 25-03-2025 Minsalud. Por medio de la cual se modifica la Resolución 2388 de 2016, “Por la cual se unifican las reglas para el recaudo de aportes al Sistema de Seguridad Social Integral y Parafiscales" Resolución 413 del 12-03-2025 Minsalud incorporan nuevas variables en la estructura de la Planilla Integrada de Liquidación de Aportes - PILA, relacionadas con: a. El contratante de trabajadores independientes, el tipo de aportante "Contratante” generan acciones correctivas o de mejora con responsables y fechas definidas?</t>
  </si>
  <si>
    <t>Resolución 413 del 12-03-2025 Minsalud incorporan nuevas variables en la estructura de la Planilla Integrada de Liquidación de Aportes - PILA, relacionadas con: a. El contratante de trabajadores independientes, el tipo de aportante "Contratante”</t>
  </si>
  <si>
    <t>1. ¿La empresa ha identificado los requisitos específicos de Resolución 413 del 12-03-2025 Minsalud incorporan nuevas variables en la estructura de la Planilla Integrada de Liquidación de Aportes - PILA, relacionadas con: a. El contratante de trabajadores independientes, el tipo de aportante "Contratante” que aplican a su actividad económica y tamaño?
2. ¿Se dispone de procedimientos, instructivos o formatos que permitan cumplir con las exigencias técnicas y administrativas de Resolución 413 del 12-03-2025 Minsalud incorporan nuevas variables en la estructura de la Planilla Integrada de Liquidación de Aportes - PILA, relacionadas con: a. El contratante de trabajadores independientes, el tipo de aportante "Contratante”?
3. ¿Existen registros (informes, actas, listados, certificados, reportes en plataformas) que evidencien el cumplimiento de Resolución 413 del 12-03-2025 Minsalud incorporan nuevas variables en la estructura de la Planilla Integrada de Liquidación de Aportes - PILA, relacionadas con: a. El contratante de trabajadores independientes, el tipo de aportante "Contratante”?
4. ¿Los responsables del SG-SST realizan seguimiento periódico a los ítems de Resolución 413 del 12-03-2025 Minsalud incorporan nuevas variables en la estructura de la Planilla Integrada de Liquidación de Aportes - PILA, relacionadas con: a. El contratante de trabajadores independientes, el tipo de aportante "Contratante” incluidos en la matriz legal y documentan los resultados?
5. ¿Se han comunicado los requisitos de Resolución 413 del 12-03-2025 Minsalud incorporan nuevas variables en la estructura de la Planilla Integrada de Liquidación de Aportes - PILA, relacionadas con: a. El contratante de trabajadores independientes, el tipo de aportante "Contratante” a los trabajadores, contratistas y proveedores que se ven impactados por esta norma?
6. ¿Las no conformidades asociadas al cumplimiento de Resolución 413 del 12-03-2025 Minsalud incorporan nuevas variables en la estructura de la Planilla Integrada de Liquidación de Aportes - PILA, relacionadas con: a. El contratante de trabajadores independientes, el tipo de aportante "Contratante” generan acciones correctivas o de mejora con responsables y fechas definidas?</t>
  </si>
  <si>
    <t>Decreto No.  0514 del 09-05 2025 Por el cual se reglamenta y compilan las normas del Sistema de Protección Social Integral para la Vejez, Invalidez y Muerte de origen común,</t>
  </si>
  <si>
    <t>1. ¿El SG-SST incorpora los requisitos establecidos en Decreto No. 0514 del 09-05 2025 Por el cual se reglamenta y compilan las normas del Sistema de Protección Social Integral para la Vejez, Invalidez y Muerte de origen común, dentro de sus procedimientos, estándares y controles operativos?
2. ¿Se cuenta con documentación actualizada (procedimientos, instructivos, protocolos) que evidencie la implementación de lo definido en Decreto No. 0514 del 09-05 2025 Por el cual se reglamenta y compilan las normas del Sistema de Protección Social Integral para la Vejez, Invalidez y Muerte de origen común,?
3. ¿Se verifica de manera periódica el cumplimiento de Decreto No. 0514 del 09-05 2025 Por el cual se reglamenta y compilan las normas del Sistema de Protección Social Integral para la Vejez, Invalidez y Muerte de origen común, en auditorías internas, inspecciones o revisiones de la matriz legal?
4. ¿Los responsables de cada proceso conocen las obligaciones derivadas de Decreto No. 0514 del 09-05 2025 Por el cual se reglamenta y compilan las normas del Sistema de Protección Social Integral para la Vejez, Invalidez y Muerte de origen común, que les aplican y cuentan con los recursos para cumplirlas?
5. ¿Se conservan registros (informes, actas, listas de verificación, reportes) que demuestren la aplicación práctica de Decreto No. 0514 del 09-05 2025 Por el cual se reglamenta y compilan las normas del Sistema de Protección Social Integral para la Vejez, Invalidez y Muerte de origen común, en la empresa?
6. ¿Las actualizaciones o derogatorias relacionadas con Decreto No. 0514 del 09-05 2025 Por el cual se reglamenta y compilan las normas del Sistema de Protección Social Integral para la Vejez, Invalidez y Muerte de origen común, se reflejan oportunamente en la matriz legal y en los documentos del SG-SST?</t>
  </si>
  <si>
    <t>Decreto Ley 2090 de 2003 Por el cual se definen las actividades de alto riesgo para la salud del trabajador y se modifican y señalan las condiciones, requisitos y beneficios del régimen de pensiones de los trabajadores que laboran en dichas actividades</t>
  </si>
  <si>
    <t>1. ¿El SG-SST incorpora los requisitos establecidos en Decreto Ley 2090 de 2003 Por el cual se definen las actividades de alto riesgo para la salud del trabajador y se modifican y señalan las condiciones, requisitos y beneficios del régimen de pensiones de los trabajadores que laboran en dichas actividades dentro de sus procedimientos, estándares y controles operativos?
2. ¿Se cuenta con documentación actualizada (procedimientos, instructivos, protocolos) que evidencie la implementación de lo definido en Decreto Ley 2090 de 2003 Por el cual se definen las actividades de alto riesgo para la salud del trabajador y se modifican y señalan las condiciones, requisitos y beneficios del régimen de pensiones de los trabajadores que laboran en dichas actividades?
3. ¿Se verifica de manera periódica el cumplimiento de Decreto Ley 2090 de 2003 Por el cual se definen las actividades de alto riesgo para la salud del trabajador y se modifican y señalan las condiciones, requisitos y beneficios del régimen de pensiones de los trabajadores que laboran en dichas actividades en auditorías internas, inspecciones o revisiones de la matriz legal?
4. ¿Los responsables de cada proceso conocen las obligaciones derivadas de Decreto Ley 2090 de 2003 Por el cual se definen las actividades de alto riesgo para la salud del trabajador y se modifican y señalan las condiciones, requisitos y beneficios del régimen de pensiones de los trabajadores que laboran en dichas actividades que les aplican y cuentan con los recursos para cumplirlas?
5. ¿Se conservan registros (informes, actas, listas de verificación, reportes) que demuestren la aplicación práctica de Decreto Ley 2090 de 2003 Por el cual se definen las actividades de alto riesgo para la salud del trabajador y se modifican y señalan las condiciones, requisitos y beneficios del régimen de pensiones de los trabajadores que laboran en dichas actividades en la empresa?
6. ¿Las actualizaciones o derogatorias relacionadas con Decreto Ley 2090 de 2003 Por el cual se definen las actividades de alto riesgo para la salud del trabajador y se modifican y señalan las condiciones, requisitos y beneficios del régimen de pensiones de los trabajadores que laboran en dichas actividades se reflejan oportunamente en la matriz legal y en los documentos del SG-SST?</t>
  </si>
  <si>
    <t>Indicadores</t>
  </si>
  <si>
    <t>Decreto 1295/94 Art. 61. Se deben llevar estadísticas de ausentismo.</t>
  </si>
  <si>
    <t>1. ¿El SG-SST incorpora los requisitos establecidos en Decreto 1295/94 Art. 61. Se deben llevar estadísticas de ausentismo. dentro de sus procedimientos, estándares y controles operativos?
2. ¿Se cuenta con documentación actualizada (procedimientos, instructivos, protocolos) que evidencie la implementación de lo definido en Decreto 1295/94 Art. 61. Se deben llevar estadísticas de ausentismo.?
3. ¿Se verifica de manera periódica el cumplimiento de Decreto 1295/94 Art. 61. Se deben llevar estadísticas de ausentismo. en auditorías internas, inspecciones o revisiones de la matriz legal?
4. ¿Los responsables de cada proceso conocen las obligaciones derivadas de Decreto 1295/94 Art. 61. Se deben llevar estadísticas de ausentismo. que les aplican y cuentan con los recursos para cumplirlas?
5. ¿Se conservan registros (informes, actas, listas de verificación, reportes) que demuestren la aplicación práctica de Decreto 1295/94 Art. 61. Se deben llevar estadísticas de ausentismo. en la empresa?
6. ¿Las actualizaciones o derogatorias relacionadas con Decreto 1295/94 Art. 61. Se deben llevar estadísticas de ausentismo. se reflejan oportunamente en la matriz legal y en los documentos del SG-SST?</t>
  </si>
  <si>
    <t>Resolución 2400 de 1979 (Art. 2c).</t>
  </si>
  <si>
    <t>1. ¿La empresa ha identificado los requisitos específicos de Resolución 2400 de 1979 (Art. 2c). que aplican a su actividad económica y tamaño?
2. ¿Se dispone de procedimientos, instructivos o formatos que permitan cumplir con las exigencias técnicas y administrativas de Resolución 2400 de 1979 (Art. 2c).?
3. ¿Existen registros (informes, actas, listados, certificados, reportes en plataformas) que evidencien el cumplimiento de Resolución 2400 de 1979 (Art. 2c).?
4. ¿Los responsables del SG-SST realizan seguimiento periódico a los ítems de Resolución 2400 de 1979 (Art. 2c). incluidos en la matriz legal y documentan los resultados?
5. ¿Se han comunicado los requisitos de Resolución 2400 de 1979 (Art. 2c). a los trabajadores, contratistas y proveedores que se ven impactados por esta norma?
6. ¿Las no conformidades asociadas al cumplimiento de Resolución 2400 de 1979 (Art. 2c). generan acciones correctivas o de mejora con responsables y fechas definidas?</t>
  </si>
  <si>
    <t>Decreto 614 de 1984 (Art. 30C4)</t>
  </si>
  <si>
    <t>1. ¿El SG-SST incorpora los requisitos establecidos en Decreto 614 de 1984 (Art. 30C4) dentro de sus procedimientos, estándares y controles operativos?
2. ¿Se cuenta con documentación actualizada (procedimientos, instructivos, protocolos) que evidencie la implementación de lo definido en Decreto 614 de 1984 (Art. 30C4)?
3. ¿Se verifica de manera periódica el cumplimiento de Decreto 614 de 1984 (Art. 30C4) en auditorías internas, inspecciones o revisiones de la matriz legal?
4. ¿Los responsables de cada proceso conocen las obligaciones derivadas de Decreto 614 de 1984 (Art. 30C4) que les aplican y cuentan con los recursos para cumplirlas?
5. ¿Se conservan registros (informes, actas, listas de verificación, reportes) que demuestren la aplicación práctica de Decreto 614 de 1984 (Art. 30C4) en la empresa?
6. ¿Las actualizaciones o derogatorias relacionadas con Decreto 614 de 1984 (Art. 30C4) se reflejan oportunamente en la matriz legal y en los documentos del SG-SST?</t>
  </si>
  <si>
    <t>Decreto1072/15 arts. 19 ficha de indicadores,20 indicadores de estructura,21 indicares de proceso y 22 indicadores de resultados R. 0312/19 art 30  indicadores mínimos</t>
  </si>
  <si>
    <t>1. ¿El SG-SST incorpora los requisitos establecidos en Decreto1072/15 arts. 19 ficha de indicadores,20 indicadores de estructura,21 indicares de proceso y 22 indicadores de resultados R. 0312/19 art 30 indicadores mínimos dentro de sus procedimientos, estándares y controles operativos?
2. ¿Se cuenta con documentación actualizada (procedimientos, instructivos, protocolos) que evidencie la implementación de lo definido en Decreto1072/15 arts. 19 ficha de indicadores,20 indicadores de estructura,21 indicares de proceso y 22 indicadores de resultados R. 0312/19 art 30 indicadores mínimos?
3. ¿Se verifica de manera periódica el cumplimiento de Decreto1072/15 arts. 19 ficha de indicadores,20 indicadores de estructura,21 indicares de proceso y 22 indicadores de resultados R. 0312/19 art 30 indicadores mínimos en auditorías internas, inspecciones o revisiones de la matriz legal?
4. ¿Los responsables de cada proceso conocen las obligaciones derivadas de Decreto1072/15 arts. 19 ficha de indicadores,20 indicadores de estructura,21 indicares de proceso y 22 indicadores de resultados R. 0312/19 art 30 indicadores mínimos que les aplican y cuentan con los recursos para cumplirlas?
5. ¿Se conservan registros (informes, actas, listas de verificación, reportes) que demuestren la aplicación práctica de Decreto1072/15 arts. 19 ficha de indicadores,20 indicadores de estructura,21 indicares de proceso y 22 indicadores de resultados R. 0312/19 art 30 indicadores mínimos en la empresa?
6. ¿Las actualizaciones o derogatorias relacionadas con Decreto1072/15 arts. 19 ficha de indicadores,20 indicadores de estructura,21 indicares de proceso y 22 indicadores de resultados R. 0312/19 art 30 indicadores mínimos se reflejan oportunamente en la matriz legal y en los documentos del SG-SST?</t>
  </si>
  <si>
    <t>R. 0312/19 art 30  indicadores mínimos</t>
  </si>
  <si>
    <t>1. ¿La empresa ha registrado en la matriz legal las obligaciones derivadas de R. 0312/19 art 30 indicadores mínimos y ha definido su aplicabilidad?
2. ¿Los procedimientos y controles del SG-SST contemplan lo establecido en R. 0312/19 art 30 indicadores mínimos para las actividades y procesos de la organización?
3. ¿Existe evidencia documental (registros, informes, actas, comunicaciones) que demuestre la aplicación de R. 0312/19 art 30 indicadores mínimos?
4. ¿Se ha socializado el contenido de R. 0312/19 art 30 indicadores mínimos con los responsables de cada proceso y con los trabajadores cuando es pertinente?
5. ¿Se revisa periódicamente el cumplimiento de R. 0312/19 art 30 indicadores mínimos y se generan planes de acción cuando se identifican desviaciones?
6. ¿La matriz legal se mantiene actualizada frente a modificaciones, derogatorias o nuevas disposiciones relacionadas con R. 0312/19 art 30 indicadores mínimos?</t>
  </si>
  <si>
    <t>Contratistas</t>
  </si>
  <si>
    <t>Decreto 1703/02 Art. 23. Pago SSI de otros tipos de contrato. Temporales, en misión, independientes. SG-SST para contratistas.</t>
  </si>
  <si>
    <t>1. ¿El SG-SST incorpora los requisitos establecidos en Decreto 1703/02 Art. 23. Pago SSI de otros tipos de contrato. Temporales, en misión, independientes. SG-SST para contratistas. dentro de sus procedimientos, estándares y controles operativos?
2. ¿Se cuenta con documentación actualizada (procedimientos, instructivos, protocolos) que evidencie la implementación de lo definido en Decreto 1703/02 Art. 23. Pago SSI de otros tipos de contrato. Temporales, en misión, independientes. SG-SST para contratistas.?
3. ¿Se verifica de manera periódica el cumplimiento de Decreto 1703/02 Art. 23. Pago SSI de otros tipos de contrato. Temporales, en misión, independientes. SG-SST para contratistas. en auditorías internas, inspecciones o revisiones de la matriz legal?
4. ¿Los responsables de cada proceso conocen las obligaciones derivadas de Decreto 1703/02 Art. 23. Pago SSI de otros tipos de contrato. Temporales, en misión, independientes. SG-SST para contratistas. que les aplican y cuentan con los recursos para cumplirlas?
5. ¿Se conservan registros (informes, actas, listas de verificación, reportes) que demuestren la aplicación práctica de Decreto 1703/02 Art. 23. Pago SSI de otros tipos de contrato. Temporales, en misión, independientes. SG-SST para contratistas. en la empresa?
6. ¿Las actualizaciones o derogatorias relacionadas con Decreto 1703/02 Art. 23. Pago SSI de otros tipos de contrato. Temporales, en misión, independientes. SG-SST para contratistas. se reflejan oportunamente en la matriz legal y en los documentos del SG-SST?</t>
  </si>
  <si>
    <t>Decreto 4369 de 2006(Art. 8,12-14)</t>
  </si>
  <si>
    <t>1. ¿El SG-SST incorpora los requisitos establecidos en Decreto 4369 de 2006(Art. 8,12-14) dentro de sus procedimientos, estándares y controles operativos?
2. ¿Se cuenta con documentación actualizada (procedimientos, instructivos, protocolos) que evidencie la implementación de lo definido en Decreto 4369 de 2006(Art. 8,12-14)?
3. ¿Se verifica de manera periódica el cumplimiento de Decreto 4369 de 2006(Art. 8,12-14) en auditorías internas, inspecciones o revisiones de la matriz legal?
4. ¿Los responsables de cada proceso conocen las obligaciones derivadas de Decreto 4369 de 2006(Art. 8,12-14) que les aplican y cuentan con los recursos para cumplirlas?
5. ¿Se conservan registros (informes, actas, listas de verificación, reportes) que demuestren la aplicación práctica de Decreto 4369 de 2006(Art. 8,12-14) en la empresa?
6. ¿Las actualizaciones o derogatorias relacionadas con Decreto 4369 de 2006(Art. 8,12-14) se reflejan oportunamente en la matriz legal y en los documentos del SG-SST?</t>
  </si>
  <si>
    <t>Decreto 2800 de 2003 (Art, 3-15)</t>
  </si>
  <si>
    <t>1. ¿El SG-SST incorpora los requisitos establecidos en Decreto 2800 de 2003 (Art, 3-15) dentro de sus procedimientos, estándares y controles operativos?
2. ¿Se cuenta con documentación actualizada (procedimientos, instructivos, protocolos) que evidencie la implementación de lo definido en Decreto 2800 de 2003 (Art, 3-15)?
3. ¿Se verifica de manera periódica el cumplimiento de Decreto 2800 de 2003 (Art, 3-15) en auditorías internas, inspecciones o revisiones de la matriz legal?
4. ¿Los responsables de cada proceso conocen las obligaciones derivadas de Decreto 2800 de 2003 (Art, 3-15) que les aplican y cuentan con los recursos para cumplirlas?
5. ¿Se conservan registros (informes, actas, listas de verificación, reportes) que demuestren la aplicación práctica de Decreto 2800 de 2003 (Art, 3-15) en la empresa?
6. ¿Las actualizaciones o derogatorias relacionadas con Decreto 2800 de 2003 (Art, 3-15) se reflejan oportunamente en la matriz legal y en los documentos del SG-SST?</t>
  </si>
  <si>
    <t>Decisión 584 de 2004 (Art. 2)</t>
  </si>
  <si>
    <t>1. ¿La empresa ha registrado en la matriz legal las obligaciones derivadas de Decisión 584 de 2004 (Art. 2) y ha definido su aplicabilidad?
2. ¿Los procedimientos y controles del SG-SST contemplan lo establecido en Decisión 584 de 2004 (Art. 2) para las actividades y procesos de la organización?
3. ¿Existe evidencia documental (registros, informes, actas, comunicaciones) que demuestre la aplicación de Decisión 584 de 2004 (Art. 2)?
4. ¿Se ha socializado el contenido de Decisión 584 de 2004 (Art. 2) con los responsables de cada proceso y con los trabajadores cuando es pertinente?
5. ¿Se revisa periódicamente el cumplimiento de Decisión 584 de 2004 (Art. 2) y se generan planes de acción cuando se identifican desviaciones?
6. ¿La matriz legal se mantiene actualizada frente a modificaciones, derogatorias o nuevas disposiciones relacionadas con Decisión 584 de 2004 (Art. 2)?</t>
  </si>
  <si>
    <t>Decreto 2025/11 art.2</t>
  </si>
  <si>
    <t>1. ¿El SG-SST incorpora los requisitos establecidos en Decreto 2025/11 art.2 dentro de sus procedimientos, estándares y controles operativos?
2. ¿Se cuenta con documentación actualizada (procedimientos, instructivos, protocolos) que evidencie la implementación de lo definido en Decreto 2025/11 art.2?
3. ¿Se verifica de manera periódica el cumplimiento de Decreto 2025/11 art.2 en auditorías internas, inspecciones o revisiones de la matriz legal?
4. ¿Los responsables de cada proceso conocen las obligaciones derivadas de Decreto 2025/11 art.2 que les aplican y cuentan con los recursos para cumplirlas?
5. ¿Se conservan registros (informes, actas, listas de verificación, reportes) que demuestren la aplicación práctica de Decreto 2025/11 art.2 en la empresa?
6. ¿Las actualizaciones o derogatorias relacionadas con Decreto 2025/11 art.2 se reflejan oportunamente en la matriz legal y en los documentos del SG-SST?</t>
  </si>
  <si>
    <t>Decreto 1530 de 1996 (Art. 10,11)</t>
  </si>
  <si>
    <t>1. ¿El SG-SST incorpora los requisitos establecidos en Decreto 1530 de 1996 (Art. 10,11) dentro de sus procedimientos, estándares y controles operativos?
2. ¿Se cuenta con documentación actualizada (procedimientos, instructivos, protocolos) que evidencie la implementación de lo definido en Decreto 1530 de 1996 (Art. 10,11)?
3. ¿Se verifica de manera periódica el cumplimiento de Decreto 1530 de 1996 (Art. 10,11) en auditorías internas, inspecciones o revisiones de la matriz legal?
4. ¿Los responsables de cada proceso conocen las obligaciones derivadas de Decreto 1530 de 1996 (Art. 10,11) que les aplican y cuentan con los recursos para cumplirlas?
5. ¿Se conservan registros (informes, actas, listas de verificación, reportes) que demuestren la aplicación práctica de Decreto 1530 de 1996 (Art. 10,11) en la empresa?
6. ¿Las actualizaciones o derogatorias relacionadas con Decreto 1530 de 1996 (Art. 10,11) se reflejan oportunamente en la matriz legal y en los documentos del SG-SST?</t>
  </si>
  <si>
    <t>Circular 0055/11</t>
  </si>
  <si>
    <t>1. ¿La empresa conoce y ha analizado los lineamientos impartidos en Circular 0055/11 frente a su actividad y condiciones de trabajo?
2. ¿Se han incorporado en los procedimientos internos las orientaciones y criterios definidos en Circular 0055/11?
3. ¿Existe evidencia de comunicación interna (correos, circulares, actas) sobre el contenido de Circular 0055/11 a las áreas responsables?
4. ¿Se verifica en auditorías o revisiones internas el cumplimiento de las instrucciones dadas en Circular 0055/11?
5. ¿Los cambios o nuevas circulares que complementan o sustituyen a Circular 0055/11 se actualizan oportunamente en la matriz legal?
6. ¿Se conservan registros de las decisiones tomadas a partir de Circular 0055/11 en relación con el SG-SST?</t>
  </si>
  <si>
    <t>Decreto 948 de 2018, Planilla electrónica (Art 1 -3).Establecer, los plazos para la utilización obligatoria de la Planilla Integrada de Liquidación de Aportes - PILA,  D. 676/2020</t>
  </si>
  <si>
    <t>1. ¿El SG-SST incorpora los requisitos establecidos en Decreto 948 de 2018, Planilla electrónica (Art 1 -3).Establecer, los plazos para la utilización obligatoria de la Planilla Integrada de Liquidación de Aportes - PILA, D. 676/2020 dentro de sus procedimientos, estándares y controles operativos?
2. ¿Se cuenta con documentación actualizada (procedimientos, instructivos, protocolos) que evidencie la implementación de lo definido en Decreto 948 de 2018, Planilla electrónica (Art 1 -3).Establecer, los plazos para la utilización obligatoria de la Planilla Integrada de Liquidación de Aportes - PILA, D. 676/2020?
3. ¿Se verifica de manera periódica el cumplimiento de Decreto 948 de 2018, Planilla electrónica (Art 1 -3).Establecer, los plazos para la utilización obligatoria de la Planilla Integrada de Liquidación de Aportes - PILA, D. 676/2020 en auditorías internas, inspecciones o revisiones de la matriz legal?
4. ¿Los responsables de cada proceso conocen las obligaciones derivadas de Decreto 948 de 2018, Planilla electrónica (Art 1 -3).Establecer, los plazos para la utilización obligatoria de la Planilla Integrada de Liquidación de Aportes - PILA, D. 676/2020 que les aplican y cuentan con los recursos para cumplirlas?
5. ¿Se conservan registros (informes, actas, listas de verificación, reportes) que demuestren la aplicación práctica de Decreto 948 de 2018, Planilla electrónica (Art 1 -3).Establecer, los plazos para la utilización obligatoria de la Planilla Integrada de Liquidación de Aportes - PILA, D. 676/2020 en la empresa?
6. ¿Las actualizaciones o derogatorias relacionadas con Decreto 948 de 2018, Planilla electrónica (Art 1 -3).Establecer, los plazos para la utilización obligatoria de la Planilla Integrada de Liquidación de Aportes - PILA, D. 676/2020 se reflejan oportunamente en la matriz legal y en los documentos del SG-SST?</t>
  </si>
  <si>
    <t>COPASST</t>
  </si>
  <si>
    <t>Resolución 2013/86 Los Artículos del 1 al 18 son aplicables en todos nuestros negocios, estos establecen todo lo relacionado con la conformación y funcionamiento de los COPAST.</t>
  </si>
  <si>
    <t>1. ¿La empresa ha identificado los requisitos específicos de Resolución 2013/86 Los Artículos del 1 al 18 son aplicables en todos nuestros negocios, estos establecen todo lo relacionado con la conformación y funcionamiento de los COPAST. que aplican a su actividad económica y tamaño?
2. ¿Se dispone de procedimientos, instructivos o formatos que permitan cumplir con las exigencias técnicas y administrativas de Resolución 2013/86 Los Artículos del 1 al 18 son aplicables en todos nuestros negocios, estos establecen todo lo relacionado con la conformación y funcionamiento de los COPAST.?
3. ¿Existen registros (informes, actas, listados, certificados, reportes en plataformas) que evidencien el cumplimiento de Resolución 2013/86 Los Artículos del 1 al 18 son aplicables en todos nuestros negocios, estos establecen todo lo relacionado con la conformación y funcionamiento de los COPAST.?
4. ¿Los responsables del SG-SST realizan seguimiento periódico a los ítems de Resolución 2013/86 Los Artículos del 1 al 18 son aplicables en todos nuestros negocios, estos establecen todo lo relacionado con la conformación y funcionamiento de los COPAST. incluidos en la matriz legal y documentan los resultados?
5. ¿Se han comunicado los requisitos de Resolución 2013/86 Los Artículos del 1 al 18 son aplicables en todos nuestros negocios, estos establecen todo lo relacionado con la conformación y funcionamiento de los COPAST. a los trabajadores, contratistas y proveedores que se ven impactados por esta norma?
6. ¿Las no conformidades asociadas al cumplimiento de Resolución 2013/86 Los Artículos del 1 al 18 son aplicables en todos nuestros negocios, estos establecen todo lo relacionado con la conformación y funcionamiento de los COPAST. generan acciones correctivas o de mejora con responsables y fechas definidas?</t>
  </si>
  <si>
    <t>Resolución 2400/79 art. 2 d,e.</t>
  </si>
  <si>
    <t>1. ¿La empresa ha identificado los requisitos específicos de Resolución 2400/79 art. 2 d,e. que aplican a su actividad económica y tamaño?
2. ¿Se dispone de procedimientos, instructivos o formatos que permitan cumplir con las exigencias técnicas y administrativas de Resolución 2400/79 art. 2 d,e.?
3. ¿Existen registros (informes, actas, listados, certificados, reportes en plataformas) que evidencien el cumplimiento de Resolución 2400/79 art. 2 d,e.?
4. ¿Los responsables del SG-SST realizan seguimiento periódico a los ítems de Resolución 2400/79 art. 2 d,e. incluidos en la matriz legal y documentan los resultados?
5. ¿Se han comunicado los requisitos de Resolución 2400/79 art. 2 d,e. a los trabajadores, contratistas y proveedores que se ven impactados por esta norma?
6. ¿Las no conformidades asociadas al cumplimiento de Resolución 2400/79 art. 2 d,e. generan acciones correctivas o de mejora con responsables y fechas definidas?</t>
  </si>
  <si>
    <t>Decreto 1295/94 art 63</t>
  </si>
  <si>
    <t>1. ¿El SG-SST incorpora los requisitos establecidos en Decreto 1295/94 art 63 dentro de sus procedimientos, estándares y controles operativos?
2. ¿Se cuenta con documentación actualizada (procedimientos, instructivos, protocolos) que evidencie la implementación de lo definido en Decreto 1295/94 art 63?
3. ¿Se verifica de manera periódica el cumplimiento de Decreto 1295/94 art 63 en auditorías internas, inspecciones o revisiones de la matriz legal?
4. ¿Los responsables de cada proceso conocen las obligaciones derivadas de Decreto 1295/94 art 63 que les aplican y cuentan con los recursos para cumplirlas?
5. ¿Se conservan registros (informes, actas, listas de verificación, reportes) que demuestren la aplicación práctica de Decreto 1295/94 art 63 en la empresa?
6. ¿Las actualizaciones o derogatorias relacionadas con Decreto 1295/94 art 63 se reflejan oportunamente en la matriz legal y en los documentos del SG-SST?</t>
  </si>
  <si>
    <t>Ley 1429/2010 art. 65 parágrafo 2 suprímase el literal f)</t>
  </si>
  <si>
    <t>1. ¿La empresa ha identificado y documentado en la matriz legal las obligaciones derivadas de Ley 1429/2010 art. 65 parágrafo 2 suprímase el literal f) y su relación con el SG-SST?
2. ¿Las políticas, procedimientos y programas del SG-SST incorporan de forma explícita los lineamientos establecidos en Ley 1429/2010 art. 65 parágrafo 2 suprímase el literal f)?
3. ¿Existe evidencia documental (actas, comunicaciones, registros, contratos, entre otros) que demuestre la aplicación de Ley 1429/2010 art. 65 parágrafo 2 suprímase el literal f) en la organización?
4. ¿Se ha socializado con trabajadores, líderes y responsables del SG-SST el contenido y alcance de Ley 1429/2010 art. 65 parágrafo 2 suprímase el literal f) y sus implicaciones en seguridad y salud en el trabajo?
5. ¿Se realiza seguimiento periódico al cumplimiento de Ley 1429/2010 art. 65 parágrafo 2 suprímase el literal f), dejando soportes de las revisiones y acciones de mejora cuando se identifican brechas?
6. ¿Los cambios o reformas a Ley 1429/2010 art. 65 parágrafo 2 suprímase el literal f) se registran oportunamente en la matriz legal y se comunican a los procesos impactados?</t>
  </si>
  <si>
    <t>Decreto-ley 1295 de 1994. El comité paritario ya no requiere registro ante el ministerio.</t>
  </si>
  <si>
    <t>1. ¿El SG-SST incorpora los requisitos establecidos en Decreto-ley 1295 de 1994. El comité paritario ya no requiere registro ante el ministerio. dentro de sus procedimientos, estándares y controles operativos?
2. ¿Se cuenta con documentación actualizada (procedimientos, instructivos, protocolos) que evidencie la implementación de lo definido en Decreto-ley 1295 de 1994. El comité paritario ya no requiere registro ante el ministerio.?
3. ¿Se verifica de manera periódica el cumplimiento de Decreto-ley 1295 de 1994. El comité paritario ya no requiere registro ante el ministerio. en auditorías internas, inspecciones o revisiones de la matriz legal?
4. ¿Los responsables de cada proceso conocen las obligaciones derivadas de Decreto-ley 1295 de 1994. El comité paritario ya no requiere registro ante el ministerio. que les aplican y cuentan con los recursos para cumplirlas?
5. ¿Se conservan registros (informes, actas, listas de verificación, reportes) que demuestren la aplicación práctica de Decreto-ley 1295 de 1994. El comité paritario ya no requiere registro ante el ministerio. en la empresa?
6. ¿Las actualizaciones o derogatorias relacionadas con Decreto-ley 1295 de 1994. El comité paritario ya no requiere registro ante el ministerio. se reflejan oportunamente en la matriz legal y en los documentos del SG-SST?</t>
  </si>
  <si>
    <t>Circular 25 del 13-07-2022 Min trabajo Incentivar la conformación inclusiva del COPASST</t>
  </si>
  <si>
    <t>1. ¿La empresa conoce y ha analizado los lineamientos impartidos en Circular 25 del 13-07-2022 Min trabajo Incentivar la conformación inclusiva del COPASST frente a su actividad y condiciones de trabajo?
2. ¿Se han incorporado en los procedimientos internos las orientaciones y criterios definidos en Circular 25 del 13-07-2022 Min trabajo Incentivar la conformación inclusiva del COPASST?
3. ¿Existe evidencia de comunicación interna (correos, circulares, actas) sobre el contenido de Circular 25 del 13-07-2022 Min trabajo Incentivar la conformación inclusiva del COPASST a las áreas responsables?
4. ¿Se verifica en auditorías o revisiones internas el cumplimiento de las instrucciones dadas en Circular 25 del 13-07-2022 Min trabajo Incentivar la conformación inclusiva del COPASST?
5. ¿Los cambios o nuevas circulares que complementan o sustituyen a Circular 25 del 13-07-2022 Min trabajo Incentivar la conformación inclusiva del COPASST se actualizan oportunamente en la matriz legal?
6. ¿Se conservan registros de las decisiones tomadas a partir de Circular 25 del 13-07-2022 Min trabajo Incentivar la conformación inclusiva del COPASST en relación con el SG-SST?</t>
  </si>
  <si>
    <t>Accidente de Trabajo</t>
  </si>
  <si>
    <t>Resolución. 1401/07 Del art. 1 al 15 , esta Resolución fija las obligaciones y requisitos mínimos para realizar la investigación de incidentes y accidentes de trabajo.</t>
  </si>
  <si>
    <t>1. ¿La empresa ha identificado los requisitos específicos de Resolución. 1401/07 Del art. 1 al 15 , esta Resolución fija las obligaciones y requisitos mínimos para realizar la investigación de incidentes y accidentes de trabajo. que aplican a su actividad económica y tamaño?
2. ¿Se dispone de procedimientos, instructivos o formatos que permitan cumplir con las exigencias técnicas y administrativas de Resolución. 1401/07 Del art. 1 al 15 , esta Resolución fija las obligaciones y requisitos mínimos para realizar la investigación de incidentes y accidentes de trabajo.?
3. ¿Existen registros (informes, actas, listados, certificados, reportes en plataformas) que evidencien el cumplimiento de Resolución. 1401/07 Del art. 1 al 15 , esta Resolución fija las obligaciones y requisitos mínimos para realizar la investigación de incidentes y accidentes de trabajo.?
4. ¿Los responsables del SG-SST realizan seguimiento periódico a los ítems de Resolución. 1401/07 Del art. 1 al 15 , esta Resolución fija las obligaciones y requisitos mínimos para realizar la investigación de incidentes y accidentes de trabajo. incluidos en la matriz legal y documentan los resultados?
5. ¿Se han comunicado los requisitos de Resolución. 1401/07 Del art. 1 al 15 , esta Resolución fija las obligaciones y requisitos mínimos para realizar la investigación de incidentes y accidentes de trabajo. a los trabajadores, contratistas y proveedores que se ven impactados por esta norma?
6. ¿Las no conformidades asociadas al cumplimiento de Resolución. 1401/07 Del art. 1 al 15 , esta Resolución fija las obligaciones y requisitos mínimos para realizar la investigación de incidentes y accidentes de trabajo. generan acciones correctivas o de mejora con responsables y fechas definidas?</t>
  </si>
  <si>
    <t>Criterio minería cielo abierto para el reporte del AT</t>
  </si>
  <si>
    <t>Ley 2663 CST( Art. 205. 206, 207 Prestar atención prioritaria a los accidentados)</t>
  </si>
  <si>
    <t>1. ¿La empresa ha identificado y documentado en la matriz legal las obligaciones derivadas de Ley 2663 CST( Art. 205. 206, 207 Prestar atención prioritaria a los accidentados) y su relación con el SG-SST?
2. ¿Las políticas, procedimientos y programas del SG-SST incorporan de forma explícita los lineamientos establecidos en Ley 2663 CST( Art. 205. 206, 207 Prestar atención prioritaria a los accidentados)?
3. ¿Existe evidencia documental (actas, comunicaciones, registros, contratos, entre otros) que demuestre la aplicación de Ley 2663 CST( Art. 205. 206, 207 Prestar atención prioritaria a los accidentados) en la organización?
4. ¿Se ha socializado con trabajadores, líderes y responsables del SG-SST el contenido y alcance de Ley 2663 CST( Art. 205. 206, 207 Prestar atención prioritaria a los accidentados) y sus implicaciones en seguridad y salud en el trabajo?
5. ¿Se realiza seguimiento periódico al cumplimiento de Ley 2663 CST( Art. 205. 206, 207 Prestar atención prioritaria a los accidentados), dejando soportes de las revisiones y acciones de mejora cuando se identifican brechas?
6. ¿Los cambios o reformas a Ley 2663 CST( Art. 205. 206, 207 Prestar atención prioritaria a los accidentados) se registran oportunamente en la matriz legal y se comunican a los procesos impactados?</t>
  </si>
  <si>
    <t>Decreto 873 DE 2001  promulga el "Convenio número 161 sobre los Servicios de Salud en el Trabajo "Decisión 584/04 Art. 11f,g</t>
  </si>
  <si>
    <t>1. ¿El SG-SST incorpora los requisitos establecidos en Decreto 873 DE 2001 promulga el "Convenio número 161 sobre los Servicios de Salud en el Trabajo "Decisión 584/04 Art. 11f,g dentro de sus procedimientos, estándares y controles operativos?
2. ¿Se cuenta con documentación actualizada (procedimientos, instructivos, protocolos) que evidencie la implementación de lo definido en Decreto 873 DE 2001 promulga el "Convenio número 161 sobre los Servicios de Salud en el Trabajo "Decisión 584/04 Art. 11f,g?
3. ¿Se verifica de manera periódica el cumplimiento de Decreto 873 DE 2001 promulga el "Convenio número 161 sobre los Servicios de Salud en el Trabajo "Decisión 584/04 Art. 11f,g en auditorías internas, inspecciones o revisiones de la matriz legal?
4. ¿Los responsables de cada proceso conocen las obligaciones derivadas de Decreto 873 DE 2001 promulga el "Convenio número 161 sobre los Servicios de Salud en el Trabajo "Decisión 584/04 Art. 11f,g que les aplican y cuentan con los recursos para cumplirlas?
5. ¿Se conservan registros (informes, actas, listas de verificación, reportes) que demuestren la aplicación práctica de Decreto 873 DE 2001 promulga el "Convenio número 161 sobre los Servicios de Salud en el Trabajo "Decisión 584/04 Art. 11f,g en la empresa?
6. ¿Las actualizaciones o derogatorias relacionadas con Decreto 873 DE 2001 promulga el "Convenio número 161 sobre los Servicios de Salud en el Trabajo "Decisión 584/04 Art. 11f,g se reflejan oportunamente en la matriz legal y en los documentos del SG-SST?</t>
  </si>
  <si>
    <t>Resolución 156/05 art.3 (Reportar el AT dentro 2 días hábiles)</t>
  </si>
  <si>
    <t>1. ¿La empresa ha identificado los requisitos específicos de Resolución 156/05 art.3 (Reportar el AT dentro 2 días hábiles) que aplican a su actividad económica y tamaño?
2. ¿Se dispone de procedimientos, instructivos o formatos que permitan cumplir con las exigencias técnicas y administrativas de Resolución 156/05 art.3 (Reportar el AT dentro 2 días hábiles)?
3. ¿Existen registros (informes, actas, listados, certificados, reportes en plataformas) que evidencien el cumplimiento de Resolución 156/05 art.3 (Reportar el AT dentro 2 días hábiles)?
4. ¿Los responsables del SG-SST realizan seguimiento periódico a los ítems de Resolución 156/05 art.3 (Reportar el AT dentro 2 días hábiles) incluidos en la matriz legal y documentan los resultados?
5. ¿Se han comunicado los requisitos de Resolución 156/05 art.3 (Reportar el AT dentro 2 días hábiles) a los trabajadores, contratistas y proveedores que se ven impactados por esta norma?
6. ¿Las no conformidades asociadas al cumplimiento de Resolución 156/05 art.3 (Reportar el AT dentro 2 días hábiles) generan acciones correctivas o de mejora con responsables y fechas definidas?</t>
  </si>
  <si>
    <t>Decreto Ley 1295/94 Art. 62 reportar simultáneamente a la EPS y ARL los accidentes.</t>
  </si>
  <si>
    <t>1. ¿El SG-SST incorpora los requisitos establecidos en Decreto Ley 1295/94 Art. 62 reportar simultáneamente a la EPS y ARL los accidentes. dentro de sus procedimientos, estándares y controles operativos?
2. ¿Se cuenta con documentación actualizada (procedimientos, instructivos, protocolos) que evidencie la implementación de lo definido en Decreto Ley 1295/94 Art. 62 reportar simultáneamente a la EPS y ARL los accidentes.?
3. ¿Se verifica de manera periódica el cumplimiento de Decreto Ley 1295/94 Art. 62 reportar simultáneamente a la EPS y ARL los accidentes. en auditorías internas, inspecciones o revisiones de la matriz legal?
4. ¿Los responsables de cada proceso conocen las obligaciones derivadas de Decreto Ley 1295/94 Art. 62 reportar simultáneamente a la EPS y ARL los accidentes. que les aplican y cuentan con los recursos para cumplirlas?
5. ¿Se conservan registros (informes, actas, listas de verificación, reportes) que demuestren la aplicación práctica de Decreto Ley 1295/94 Art. 62 reportar simultáneamente a la EPS y ARL los accidentes. en la empresa?
6. ¿Las actualizaciones o derogatorias relacionadas con Decreto Ley 1295/94 Art. 62 reportar simultáneamente a la EPS y ARL los accidentes. se reflejan oportunamente en la matriz legal y en los documentos del SG-SST?</t>
  </si>
  <si>
    <t>Ley 9 de 1979 (Art. 84c)</t>
  </si>
  <si>
    <t>1. ¿La empresa ha identificado y documentado en la matriz legal las obligaciones derivadas de Ley 9 de 1979 (Art. 84c) y su relación con el SG-SST?
2. ¿Las políticas, procedimientos y programas del SG-SST incorporan de forma explícita los lineamientos establecidos en Ley 9 de 1979 (Art. 84c)?
3. ¿Existe evidencia documental (actas, comunicaciones, registros, contratos, entre otros) que demuestre la aplicación de Ley 9 de 1979 (Art. 84c) en la organización?
4. ¿Se ha socializado con trabajadores, líderes y responsables del SG-SST el contenido y alcance de Ley 9 de 1979 (Art. 84c) y sus implicaciones en seguridad y salud en el trabajo?
5. ¿Se realiza seguimiento periódico al cumplimiento de Ley 9 de 1979 (Art. 84c), dejando soportes de las revisiones y acciones de mejora cuando se identifican brechas?
6. ¿Los cambios o reformas a Ley 9 de 1979 (Art. 84c) se registran oportunamente en la matriz legal y se comunican a los procesos impactados?</t>
  </si>
  <si>
    <t>Ley 1562/12 art. 3 definición de accidente de trabajo.</t>
  </si>
  <si>
    <t>1. ¿La empresa ha identificado y documentado en la matriz legal las obligaciones derivadas de Ley 1562/12 art. 3 definición de accidente de trabajo. y su relación con el SG-SST?
2. ¿Las políticas, procedimientos y programas del SG-SST incorporan de forma explícita los lineamientos establecidos en Ley 1562/12 art. 3 definición de accidente de trabajo.?
3. ¿Existe evidencia documental (actas, comunicaciones, registros, contratos, entre otros) que demuestre la aplicación de Ley 1562/12 art. 3 definición de accidente de trabajo. en la organización?
4. ¿Se ha socializado con trabajadores, líderes y responsables del SG-SST el contenido y alcance de Ley 1562/12 art. 3 definición de accidente de trabajo. y sus implicaciones en seguridad y salud en el trabajo?
5. ¿Se realiza seguimiento periódico al cumplimiento de Ley 1562/12 art. 3 definición de accidente de trabajo., dejando soportes de las revisiones y acciones de mejora cuando se identifican brechas?
6. ¿Los cambios o reformas a Ley 1562/12 art. 3 definición de accidente de trabajo. se registran oportunamente en la matriz legal y se comunican a los procesos impactados?</t>
  </si>
  <si>
    <t>Decreto 1072/2015 art 2.2.4.6.32, y Artículo 2.2.4.1.6. y Artículo 2.2.4.1.7 Accidente de trabajo y enfermedad laboral con muerte del trabajador. Decreto 1530 de 1996, art. 4)</t>
  </si>
  <si>
    <t>1. ¿El SG-SST incorpora los requisitos establecidos en Decreto 1072/2015 art 2.2.4.6.32, y Artículo 2.2.4.1.6. y Artículo 2.2.4.1.7 Accidente de trabajo y enfermedad laboral con muerte del trabajador. Decreto 1530 de 1996, art. 4) dentro de sus procedimientos, estándares y controles operativos?
2. ¿Se cuenta con documentación actualizada (procedimientos, instructivos, protocolos) que evidencie la implementación de lo definido en Decreto 1072/2015 art 2.2.4.6.32, y Artículo 2.2.4.1.6. y Artículo 2.2.4.1.7 Accidente de trabajo y enfermedad laboral con muerte del trabajador. Decreto 1530 de 1996, art. 4)?
3. ¿Se verifica de manera periódica el cumplimiento de Decreto 1072/2015 art 2.2.4.6.32, y Artículo 2.2.4.1.6. y Artículo 2.2.4.1.7 Accidente de trabajo y enfermedad laboral con muerte del trabajador. Decreto 1530 de 1996, art. 4) en auditorías internas, inspecciones o revisiones de la matriz legal?
4. ¿Los responsables de cada proceso conocen las obligaciones derivadas de Decreto 1072/2015 art 2.2.4.6.32, y Artículo 2.2.4.1.6. y Artículo 2.2.4.1.7 Accidente de trabajo y enfermedad laboral con muerte del trabajador. Decreto 1530 de 1996, art. 4) que les aplican y cuentan con los recursos para cumplirlas?
5. ¿Se conservan registros (informes, actas, listas de verificación, reportes) que demuestren la aplicación práctica de Decreto 1072/2015 art 2.2.4.6.32, y Artículo 2.2.4.1.6. y Artículo 2.2.4.1.7 Accidente de trabajo y enfermedad laboral con muerte del trabajador. Decreto 1530 de 1996, art. 4) en la empresa?
6. ¿Las actualizaciones o derogatorias relacionadas con Decreto 1072/2015 art 2.2.4.6.32, y Artículo 2.2.4.1.6. y Artículo 2.2.4.1.7 Accidente de trabajo y enfermedad laboral con muerte del trabajador. Decreto 1530 de 1996, art. 4) se reflejan oportunamente en la matriz legal y en los documentos del SG-SST?</t>
  </si>
  <si>
    <t>Decreto 1530 de 1996, art. 4)</t>
  </si>
  <si>
    <t>1. ¿El SG-SST incorpora los requisitos establecidos en Decreto 1530 de 1996, art. 4) dentro de sus procedimientos, estándares y controles operativos?
2. ¿Se cuenta con documentación actualizada (procedimientos, instructivos, protocolos) que evidencie la implementación de lo definido en Decreto 1530 de 1996, art. 4)?
3. ¿Se verifica de manera periódica el cumplimiento de Decreto 1530 de 1996, art. 4) en auditorías internas, inspecciones o revisiones de la matriz legal?
4. ¿Los responsables de cada proceso conocen las obligaciones derivadas de Decreto 1530 de 1996, art. 4) que les aplican y cuentan con los recursos para cumplirlas?
5. ¿Se conservan registros (informes, actas, listas de verificación, reportes) que demuestren la aplicación práctica de Decreto 1530 de 1996, art. 4) en la empresa?
6. ¿Las actualizaciones o derogatorias relacionadas con Decreto 1530 de 1996, art. 4) se reflejan oportunamente en la matriz legal y en los documentos del SG-SST?</t>
  </si>
  <si>
    <t>Circular 69 DEL 25-10-2024 prestaciones AT Transporte</t>
  </si>
  <si>
    <t>1. ¿La empresa conoce y ha analizado los lineamientos impartidos en Circular 69 DEL 25-10-2024 prestaciones AT Transporte frente a su actividad y condiciones de trabajo?
2. ¿Se han incorporado en los procedimientos internos las orientaciones y criterios definidos en Circular 69 DEL 25-10-2024 prestaciones AT Transporte?
3. ¿Existe evidencia de comunicación interna (correos, circulares, actas) sobre el contenido de Circular 69 DEL 25-10-2024 prestaciones AT Transporte a las áreas responsables?
4. ¿Se verifica en auditorías o revisiones internas el cumplimiento de las instrucciones dadas en Circular 69 DEL 25-10-2024 prestaciones AT Transporte?
5. ¿Los cambios o nuevas circulares que complementan o sustituyen a Circular 69 DEL 25-10-2024 prestaciones AT Transporte se actualizan oportunamente en la matriz legal?
6. ¿Se conservan registros de las decisiones tomadas a partir de Circular 69 DEL 25-10-2024 prestaciones AT Transporte en relación con el SG-SST?</t>
  </si>
  <si>
    <t>Decreto 539 de 2022 Por el cual se expide el Reglamento de Higiene y Seguridad en las Labores Mineras a Cielo Abierto arts 7, 115, 116</t>
  </si>
  <si>
    <t>1. ¿El SG-SST incorpora los requisitos establecidos en Decreto 539 de 2022 Por el cual se expide el Reglamento de Higiene y Seguridad en las Labores Mineras a Cielo Abierto arts 7, 115, 116 dentro de sus procedimientos, estándares y controles operativos?
2. ¿Se cuenta con documentación actualizada (procedimientos, instructivos, protocolos) que evidencie la implementación de lo definido en Decreto 539 de 2022 Por el cual se expide el Reglamento de Higiene y Seguridad en las Labores Mineras a Cielo Abierto arts 7, 115, 116?
3. ¿Se verifica de manera periódica el cumplimiento de Decreto 539 de 2022 Por el cual se expide el Reglamento de Higiene y Seguridad en las Labores Mineras a Cielo Abierto arts 7, 115, 116 en auditorías internas, inspecciones o revisiones de la matriz legal?
4. ¿Los responsables de cada proceso conocen las obligaciones derivadas de Decreto 539 de 2022 Por el cual se expide el Reglamento de Higiene y Seguridad en las Labores Mineras a Cielo Abierto arts 7, 115, 116 que les aplican y cuentan con los recursos para cumplirlas?
5. ¿Se conservan registros (informes, actas, listas de verificación, reportes) que demuestren la aplicación práctica de Decreto 539 de 2022 Por el cual se expide el Reglamento de Higiene y Seguridad en las Labores Mineras a Cielo Abierto arts 7, 115, 116 en la empresa?
6. ¿Las actualizaciones o derogatorias relacionadas con Decreto 539 de 2022 Por el cual se expide el Reglamento de Higiene y Seguridad en las Labores Mineras a Cielo Abierto arts 7, 115, 116 se reflejan oportunamente en la matriz legal y en los documentos del SG-SST?</t>
  </si>
  <si>
    <t>Teletrabajo</t>
  </si>
  <si>
    <t>D. 1072/15 Art 2.2.1.5.3. Contrato o vinculación de teletrabajo, Artículo 2.2.1.5.4. Igualdad de trato., Artículo 2.2.1.5.5. Uso adecuado de equipos y programas informáticos RIT, Artículo 2.2.1.5.8. Obligaciones de las partes en seguridad y previsión de riesgos laborales, Artículo 2.2.1.5.10. Auxilio de transporte, horas extras, dominicales y festivos para los tele trabajadores.</t>
  </si>
  <si>
    <t>1. ¿El SG-SST incorpora los requisitos establecidos en D. 1072/15 Art 2.2.1.5.3. Contrato o vinculación de teletrabajo, Artículo 2.2.1.5.4. Igualdad de trato., Artículo 2.2.1.5.5. Uso adecuado de equipos y programas informáticos RIT, Artículo 2.2.1.5.8. Obligaciones de las partes en seguridad y previsión de riesgos laborales, Artículo 2.2.1.5.10. Auxilio de transporte, horas extras, dominicales y festivos para los tele trabajadores. dentro de sus procedimientos, estándares y controles operativos?
2. ¿Se cuenta con documentación actualizada (procedimientos, instructivos, protocolos) que evidencie la implementación de lo definido en D. 1072/15 Art 2.2.1.5.3. Contrato o vinculación de teletrabajo, Artículo 2.2.1.5.4. Igualdad de trato., Artículo 2.2.1.5.5. Uso adecuado de equipos y programas informáticos RIT, Artículo 2.2.1.5.8. Obligaciones de las partes en seguridad y previsión de riesgos laborales, Artículo 2.2.1.5.10. Auxilio de transporte, horas extras, dominicales y festivos para los tele trabajadores.?
3. ¿Se verifica de manera periódica el cumplimiento de D. 1072/15 Art 2.2.1.5.3. Contrato o vinculación de teletrabajo, Artículo 2.2.1.5.4. Igualdad de trato., Artículo 2.2.1.5.5. Uso adecuado de equipos y programas informáticos RIT, Artículo 2.2.1.5.8. Obligaciones de las partes en seguridad y previsión de riesgos laborales, Artículo 2.2.1.5.10. Auxilio de transporte, horas extras, dominicales y festivos para los tele trabajadores. en auditorías internas, inspecciones o revisiones de la matriz legal?
4. ¿Los responsables de cada proceso conocen las obligaciones derivadas de D. 1072/15 Art 2.2.1.5.3. Contrato o vinculación de teletrabajo, Artículo 2.2.1.5.4. Igualdad de trato., Artículo 2.2.1.5.5. Uso adecuado de equipos y programas informáticos RIT, Artículo 2.2.1.5.8. Obligaciones de las partes en seguridad y previsión de riesgos laborales, Artículo 2.2.1.5.10. Auxilio de transporte, horas extras, dominicales y festivos para los tele trabajadores. que les aplican y cuentan con los recursos para cumplirlas?
5. ¿Se conservan registros (informes, actas, listas de verificación, reportes) que demuestren la aplicación práctica de D. 1072/15 Art 2.2.1.5.3. Contrato o vinculación de teletrabajo, Artículo 2.2.1.5.4. Igualdad de trato., Artículo 2.2.1.5.5. Uso adecuado de equipos y programas informáticos RIT, Artículo 2.2.1.5.8. Obligaciones de las partes en seguridad y previsión de riesgos laborales, Artículo 2.2.1.5.10. Auxilio de transporte, horas extras, dominicales y festivos para los tele trabajadores. en la empresa?
6. ¿Las actualizaciones o derogatorias relacionadas con D. 1072/15 Art 2.2.1.5.3. Contrato o vinculación de teletrabajo, Artículo 2.2.1.5.4. Igualdad de trato., Artículo 2.2.1.5.5. Uso adecuado de equipos y programas informáticos RIT, Artículo 2.2.1.5.8. Obligaciones de las partes en seguridad y previsión de riesgos laborales, Artículo 2.2.1.5.10. Auxilio de transporte, horas extras, dominicales y festivos para los tele trabajadores. se reflejan oportunamente en la matriz legal y en los documentos del SG-SST?</t>
  </si>
  <si>
    <t>Por revisar por la empresa</t>
  </si>
  <si>
    <t>Ley 1221 de 2008 Por la cual se establecen normas para promover y regular el Teletrabajo y se dictan otras disposiciones. Circular 27 del 20219 preciciones sobre la implementación del teletrabajo</t>
  </si>
  <si>
    <t>1. ¿La empresa ha identificado y documentado en la matriz legal las obligaciones derivadas de Ley 1221 de 2008 Por la cual se establecen normas para promover y regular el Teletrabajo y se dictan otras disposiciones. Circular 27 del 20219 preciciones sobre la implementación del teletrabajo y su relación con el SG-SST?
2. ¿Las políticas, procedimientos y programas del SG-SST incorporan de forma explícita los lineamientos establecidos en Ley 1221 de 2008 Por la cual se establecen normas para promover y regular el Teletrabajo y se dictan otras disposiciones. Circular 27 del 20219 preciciones sobre la implementación del teletrabajo?
3. ¿Existe evidencia documental (actas, comunicaciones, registros, contratos, entre otros) que demuestre la aplicación de Ley 1221 de 2008 Por la cual se establecen normas para promover y regular el Teletrabajo y se dictan otras disposiciones. Circular 27 del 20219 preciciones sobre la implementación del teletrabajo en la organización?
4. ¿Se ha socializado con trabajadores, líderes y responsables del SG-SST el contenido y alcance de Ley 1221 de 2008 Por la cual se establecen normas para promover y regular el Teletrabajo y se dictan otras disposiciones. Circular 27 del 20219 preciciones sobre la implementación del teletrabajo y sus implicaciones en seguridad y salud en el trabajo?
5. ¿Se realiza seguimiento periódico al cumplimiento de Ley 1221 de 2008 Por la cual se establecen normas para promover y regular el Teletrabajo y se dictan otras disposiciones. Circular 27 del 20219 preciciones sobre la implementación del teletrabajo, dejando soportes de las revisiones y acciones de mejora cuando se identifican brechas?
6. ¿Los cambios o reformas a Ley 1221 de 2008 Por la cual se establecen normas para promover y regular el Teletrabajo y se dictan otras disposiciones. Circular 27 del 20219 preciciones sobre la implementación del teletrabajo se registran oportunamente en la matriz legal y se comunican a los procesos impactados?</t>
  </si>
  <si>
    <t>Circular 27 del 20219 preciciones sobre la implementación del teletrabajo</t>
  </si>
  <si>
    <t>1. ¿La empresa conoce y ha analizado los lineamientos impartidos en Circular 27 del 20219 preciciones sobre la implementación del teletrabajo frente a su actividad y condiciones de trabajo?
2. ¿Se han incorporado en los procedimientos internos las orientaciones y criterios definidos en Circular 27 del 20219 preciciones sobre la implementación del teletrabajo?
3. ¿Existe evidencia de comunicación interna (correos, circulares, actas) sobre el contenido de Circular 27 del 20219 preciciones sobre la implementación del teletrabajo a las áreas responsables?
4. ¿Se verifica en auditorías o revisiones internas el cumplimiento de las instrucciones dadas en Circular 27 del 20219 preciciones sobre la implementación del teletrabajo?
5. ¿Los cambios o nuevas circulares que complementan o sustituyen a Circular 27 del 20219 preciciones sobre la implementación del teletrabajo se actualizan oportunamente en la matriz legal?
6. ¿Se conservan registros de las decisiones tomadas a partir de Circular 27 del 20219 preciciones sobre la implementación del teletrabajo en relación con el SG-SST?</t>
  </si>
  <si>
    <t>D. 1227 del 18-07-2022 Mintrabajo modifica normas del teletrabajo</t>
  </si>
  <si>
    <t>1. ¿El SG-SST incorpora los requisitos establecidos en D. 1227 del 18-07-2022 Mintrabajo modifica normas del teletrabajo dentro de sus procedimientos, estándares y controles operativos?
2. ¿Se cuenta con documentación actualizada (procedimientos, instructivos, protocolos) que evidencie la implementación de lo definido en D. 1227 del 18-07-2022 Mintrabajo modifica normas del teletrabajo?
3. ¿Se verifica de manera periódica el cumplimiento de D. 1227 del 18-07-2022 Mintrabajo modifica normas del teletrabajo en auditorías internas, inspecciones o revisiones de la matriz legal?
4. ¿Los responsables de cada proceso conocen las obligaciones derivadas de D. 1227 del 18-07-2022 Mintrabajo modifica normas del teletrabajo que les aplican y cuentan con los recursos para cumplirlas?
5. ¿Se conservan registros (informes, actas, listas de verificación, reportes) que demuestren la aplicación práctica de D. 1227 del 18-07-2022 Mintrabajo modifica normas del teletrabajo en la empresa?
6. ¿Las actualizaciones o derogatorias relacionadas con D. 1227 del 18-07-2022 Mintrabajo modifica normas del teletrabajo se reflejan oportunamente en la matriz legal y en los documentos del SG-SST?</t>
  </si>
  <si>
    <t>Sustancias Psicoactivas (SPA)</t>
  </si>
  <si>
    <t>Ley 1335  de julio 21 de 2009 congreso por medio de las cuales se previenen daños a la salud de los menores de edad, la población no fumadora y se estipulan políticas públicas para la prevención del consumo del tabaco y el abandono de la dependencia del tabaco del fumador y sus derivados en la población colombiana art. 12 Corresponde a las ARL  desarrollar estrategias para brindar, permanentemente, información y educación a sus afiliados para garantizar ambientes laborales ciento por ciento (100%)</t>
  </si>
  <si>
    <t>1. ¿La empresa ha identificado y documentado en la matriz legal las obligaciones derivadas de Ley 1335 de julio 21 de 2009 congreso por medio de las cuales se previenen daños a la salud de los menores de edad, la población no fumadora y se estipulan políticas públicas para la prevención del consumo del tabaco y el abandono de la dependencia del tabaco del fumador y sus derivados en la población colombiana art. 12 Corresponde a las ARL desarrollar estrategias para brindar, permanentemente, información y educación a sus afiliados para garantizar ambientes laborales ciento por ciento (100%) y su relación con el SG-SST?
2. ¿Las políticas, procedimientos y programas del SG-SST incorporan de forma explícita los lineamientos establecidos en Ley 1335 de julio 21 de 2009 congreso por medio de las cuales se previenen daños a la salud de los menores de edad, la población no fumadora y se estipulan políticas públicas para la prevención del consumo del tabaco y el abandono de la dependencia del tabaco del fumador y sus derivados en la población colombiana art. 12 Corresponde a las ARL desarrollar estrategias para brindar, permanentemente, información y educación a sus afiliados para garantizar ambientes laborales ciento por ciento (100%)?
3. ¿Existe evidencia documental (actas, comunicaciones, registros, contratos, entre otros) que demuestre la aplicación de Ley 1335 de julio 21 de 2009 congreso por medio de las cuales se previenen daños a la salud de los menores de edad, la población no fumadora y se estipulan políticas públicas para la prevención del consumo del tabaco y el abandono de la dependencia del tabaco del fumador y sus derivados en la población colombiana art. 12 Corresponde a las ARL desarrollar estrategias para brindar, permanentemente, información y educación a sus afiliados para garantizar ambientes laborales ciento por ciento (100%) en la organización?
4. ¿Se ha socializado con trabajadores, líderes y responsables del SG-SST el contenido y alcance de Ley 1335 de julio 21 de 2009 congreso por medio de las cuales se previenen daños a la salud de los menores de edad, la población no fumadora y se estipulan políticas públicas para la prevención del consumo del tabaco y el abandono de la dependencia del tabaco del fumador y sus derivados en la población colombiana art. 12 Corresponde a las ARL desarrollar estrategias para brindar, permanentemente, información y educación a sus afiliados para garantizar ambientes laborales ciento por ciento (100%) y sus implicaciones en seguridad y salud en el trabajo?
5. ¿Se realiza seguimiento periódico al cumplimiento de Ley 1335 de julio 21 de 2009 congreso por medio de las cuales se previenen daños a la salud de los menores de edad, la población no fumadora y se estipulan políticas públicas para la prevención del consumo del tabaco y el abandono de la dependencia del tabaco del fumador y sus derivados en la población colombiana art. 12 Corresponde a las ARL desarrollar estrategias para brindar, permanentemente, información y educación a sus afiliados para garantizar ambientes laborales ciento por ciento (100%), dejando soportes de las revisiones y acciones de mejora cuando se identifican brechas?
6. ¿Los cambios o reformas a Ley 1335 de julio 21 de 2009 congreso por medio de las cuales se previenen daños a la salud de los menores de edad, la población no fumadora y se estipulan políticas públicas para la prevención del consumo del tabaco y el abandono de la dependencia del tabaco del fumador y sus derivados en la población colombiana art. 12 Corresponde a las ARL desarrollar estrategias para brindar, permanentemente, información y educación a sus afiliados para garantizar ambientes laborales ciento por ciento (100%) se registran oportunamente en la matriz legal y se comunican a los procesos impactados?</t>
  </si>
  <si>
    <t>Decreto 1108 de 1994. "Por el cual se disposiciones en relación con el porte y consumo de estupefacientes y sustancias psicotrópicas; Espacios libres de humo. Art 19 f. Prohibición al consumo de tabaco y sus derivados, Art 20 obligaciones. Artículo 38. Se prohíbe a todos los empleados presentarse al sitio de trabajo bajo el influjo de estupefacientes o sustancias psicotrópicas, consumirlas o incitarlas a consumirlas en dicho sitio.</t>
  </si>
  <si>
    <t>1. ¿El SG-SST incorpora los requisitos establecidos en Decreto 1108 de 1994. "Por el cual se disposiciones en relación con el porte y consumo de estupefacientes y sustancias psicotrópicas; Espacios libres de humo. Art 19 f. Prohibición al consumo de tabaco y sus derivados, Art 20 obligaciones. Artículo 38. Se prohíbe a todos los empleados presentarse al sitio de trabajo bajo el influjo de estupefacientes o sustancias psicotrópicas, consumirlas o incitarlas a consumirlas en dicho sitio. dentro de sus procedimientos, estándares y controles operativos?
2. ¿Se cuenta con documentación actualizada (procedimientos, instructivos, protocolos) que evidencie la implementación de lo definido en Decreto 1108 de 1994. "Por el cual se disposiciones en relación con el porte y consumo de estupefacientes y sustancias psicotrópicas; Espacios libres de humo. Art 19 f. Prohibición al consumo de tabaco y sus derivados, Art 20 obligaciones. Artículo 38. Se prohíbe a todos los empleados presentarse al sitio de trabajo bajo el influjo de estupefacientes o sustancias psicotrópicas, consumirlas o incitarlas a consumirlas en dicho sitio.?
3. ¿Se verifica de manera periódica el cumplimiento de Decreto 1108 de 1994. "Por el cual se disposiciones en relación con el porte y consumo de estupefacientes y sustancias psicotrópicas; Espacios libres de humo. Art 19 f. Prohibición al consumo de tabaco y sus derivados, Art 20 obligaciones. Artículo 38. Se prohíbe a todos los empleados presentarse al sitio de trabajo bajo el influjo de estupefacientes o sustancias psicotrópicas, consumirlas o incitarlas a consumirlas en dicho sitio. en auditorías internas, inspecciones o revisiones de la matriz legal?
4. ¿Los responsables de cada proceso conocen las obligaciones derivadas de Decreto 1108 de 1994. "Por el cual se disposiciones en relación con el porte y consumo de estupefacientes y sustancias psicotrópicas; Espacios libres de humo. Art 19 f. Prohibición al consumo de tabaco y sus derivados, Art 20 obligaciones. Artículo 38. Se prohíbe a todos los empleados presentarse al sitio de trabajo bajo el influjo de estupefacientes o sustancias psicotrópicas, consumirlas o incitarlas a consumirlas en dicho sitio. que les aplican y cuentan con los recursos para cumplirlas?
5. ¿Se conservan registros (informes, actas, listas de verificación, reportes) que demuestren la aplicación práctica de Decreto 1108 de 1994. "Por el cual se disposiciones en relación con el porte y consumo de estupefacientes y sustancias psicotrópicas; Espacios libres de humo. Art 19 f. Prohibición al consumo de tabaco y sus derivados, Art 20 obligaciones. Artículo 38. Se prohíbe a todos los empleados presentarse al sitio de trabajo bajo el influjo de estupefacientes o sustancias psicotrópicas, consumirlas o incitarlas a consumirlas en dicho sitio. en la empresa?
6. ¿Las actualizaciones o derogatorias relacionadas con Decreto 1108 de 1994. "Por el cual se disposiciones en relación con el porte y consumo de estupefacientes y sustancias psicotrópicas; Espacios libres de humo. Art 19 f. Prohibición al consumo de tabaco y sus derivados, Art 20 obligaciones. Artículo 38. Se prohíbe a todos los empleados presentarse al sitio de trabajo bajo el influjo de estupefacientes o sustancias psicotrópicas, consumirlas o incitarlas a consumirlas en dicho sitio. se reflejan oportunamente en la matriz legal y en los documentos del SG-SST?</t>
  </si>
  <si>
    <t>Circular 038 de 2010 Numeral 2 Ejecución de la R. 1075 de 1992, que determina de manera clara y perentoria que los empleadores públicos y privados deben incluir dentro de las actividades del Subprograma de Medicina Preventiva</t>
  </si>
  <si>
    <t>1. ¿La empresa conoce y ha analizado los lineamientos impartidos en Circular 038 de 2010 Numeral 2 Ejecución de la R. 1075 de 1992, que determina de manera clara y perentoria que los empleadores públicos y privados deben incluir dentro de las actividades del Subprograma de Medicina Preventiva frente a su actividad y condiciones de trabajo?
2. ¿Se han incorporado en los procedimientos internos las orientaciones y criterios definidos en Circular 038 de 2010 Numeral 2 Ejecución de la R. 1075 de 1992, que determina de manera clara y perentoria que los empleadores públicos y privados deben incluir dentro de las actividades del Subprograma de Medicina Preventiva?
3. ¿Existe evidencia de comunicación interna (correos, circulares, actas) sobre el contenido de Circular 038 de 2010 Numeral 2 Ejecución de la R. 1075 de 1992, que determina de manera clara y perentoria que los empleadores públicos y privados deben incluir dentro de las actividades del Subprograma de Medicina Preventiva a las áreas responsables?
4. ¿Se verifica en auditorías o revisiones internas el cumplimiento de las instrucciones dadas en Circular 038 de 2010 Numeral 2 Ejecución de la R. 1075 de 1992, que determina de manera clara y perentoria que los empleadores públicos y privados deben incluir dentro de las actividades del Subprograma de Medicina Preventiva?
5. ¿Los cambios o nuevas circulares que complementan o sustituyen a Circular 038 de 2010 Numeral 2 Ejecución de la R. 1075 de 1992, que determina de manera clara y perentoria que los empleadores públicos y privados deben incluir dentro de las actividades del Subprograma de Medicina Preventiva se actualizan oportunamente en la matriz legal?
6. ¿Se conservan registros de las decisiones tomadas a partir de Circular 038 de 2010 Numeral 2 Ejecución de la R. 1075 de 1992, que determina de manera clara y perentoria que los empleadores públicos y privados deben incluir dentro de las actividades del Subprograma de Medicina Preventiva en relación con el SG-SST?</t>
  </si>
  <si>
    <t>Resolución 1956 Art. 2 y 4 Prohibición de fumar en lugares público o cerrados,</t>
  </si>
  <si>
    <t>1. ¿La empresa ha identificado los requisitos específicos de Resolución 1956 Art. 2 y 4 Prohibición de fumar en lugares público o cerrados, que aplican a su actividad económica y tamaño?
2. ¿Se dispone de procedimientos, instructivos o formatos que permitan cumplir con las exigencias técnicas y administrativas de Resolución 1956 Art. 2 y 4 Prohibición de fumar en lugares público o cerrados,?
3. ¿Existen registros (informes, actas, listados, certificados, reportes en plataformas) que evidencien el cumplimiento de Resolución 1956 Art. 2 y 4 Prohibición de fumar en lugares público o cerrados,?
4. ¿Los responsables del SG-SST realizan seguimiento periódico a los ítems de Resolución 1956 Art. 2 y 4 Prohibición de fumar en lugares público o cerrados, incluidos en la matriz legal y documentan los resultados?
5. ¿Se han comunicado los requisitos de Resolución 1956 Art. 2 y 4 Prohibición de fumar en lugares público o cerrados, a los trabajadores, contratistas y proveedores que se ven impactados por esta norma?
6. ¿Las no conformidades asociadas al cumplimiento de Resolución 1956 Art. 2 y 4 Prohibición de fumar en lugares público o cerrados, generan acciones correctivas o de mejora con responsables y fechas definidas?</t>
  </si>
  <si>
    <t>Ley 1566/12 Sustancias Psicoactivas art. 7</t>
  </si>
  <si>
    <t>1. ¿La empresa ha identificado y documentado en la matriz legal las obligaciones derivadas de Ley 1566/12 Sustancias Psicoactivas art. 7 y su relación con el SG-SST?
2. ¿Las políticas, procedimientos y programas del SG-SST incorporan de forma explícita los lineamientos establecidos en Ley 1566/12 Sustancias Psicoactivas art. 7?
3. ¿Existe evidencia documental (actas, comunicaciones, registros, contratos, entre otros) que demuestre la aplicación de Ley 1566/12 Sustancias Psicoactivas art. 7 en la organización?
4. ¿Se ha socializado con trabajadores, líderes y responsables del SG-SST el contenido y alcance de Ley 1566/12 Sustancias Psicoactivas art. 7 y sus implicaciones en seguridad y salud en el trabajo?
5. ¿Se realiza seguimiento periódico al cumplimiento de Ley 1566/12 Sustancias Psicoactivas art. 7, dejando soportes de las revisiones y acciones de mejora cuando se identifican brechas?
6. ¿Los cambios o reformas a Ley 1566/12 Sustancias Psicoactivas art. 7 se registran oportunamente en la matriz legal y se comunican a los procesos impactados?</t>
  </si>
  <si>
    <t>Resolución 089 01-16-2019 Por la cual se adopta la política integra para la  atención y prevención de consumo SPA: 8.2.2 Reducción de los factores de riesgo en los entornos: laboral -Fortalecimiento de capacidades en los trabajadores y empleadores para la gestión del riesgos laborales relacionadas con el consumo  SPA.</t>
  </si>
  <si>
    <t>1. ¿La empresa ha identificado los requisitos específicos de Resolución 089 01-16-2019 Por la cual se adopta la política integra para la atención y prevención de consumo SPA: 8.2.2 Reducción de los factores de riesgo en los entornos: laboral -Fortalecimiento de capacidades en los trabajadores y empleadores para la gestión del riesgos laborales relacionadas con el consumo SPA. que aplican a su actividad económica y tamaño?
2. ¿Se dispone de procedimientos, instructivos o formatos que permitan cumplir con las exigencias técnicas y administrativas de Resolución 089 01-16-2019 Por la cual se adopta la política integra para la atención y prevención de consumo SPA: 8.2.2 Reducción de los factores de riesgo en los entornos: laboral -Fortalecimiento de capacidades en los trabajadores y empleadores para la gestión del riesgos laborales relacionadas con el consumo SPA.?
3. ¿Existen registros (informes, actas, listados, certificados, reportes en plataformas) que evidencien el cumplimiento de Resolución 089 01-16-2019 Por la cual se adopta la política integra para la atención y prevención de consumo SPA: 8.2.2 Reducción de los factores de riesgo en los entornos: laboral -Fortalecimiento de capacidades en los trabajadores y empleadores para la gestión del riesgos laborales relacionadas con el consumo SPA.?
4. ¿Los responsables del SG-SST realizan seguimiento periódico a los ítems de Resolución 089 01-16-2019 Por la cual se adopta la política integra para la atención y prevención de consumo SPA: 8.2.2 Reducción de los factores de riesgo en los entornos: laboral -Fortalecimiento de capacidades en los trabajadores y empleadores para la gestión del riesgos laborales relacionadas con el consumo SPA. incluidos en la matriz legal y documentan los resultados?
5. ¿Se han comunicado los requisitos de Resolución 089 01-16-2019 Por la cual se adopta la política integra para la atención y prevención de consumo SPA: 8.2.2 Reducción de los factores de riesgo en los entornos: laboral -Fortalecimiento de capacidades en los trabajadores y empleadores para la gestión del riesgos laborales relacionadas con el consumo SPA. a los trabajadores, contratistas y proveedores que se ven impactados por esta norma?
6. ¿Las no conformidades asociadas al cumplimiento de Resolución 089 01-16-2019 Por la cual se adopta la política integra para la atención y prevención de consumo SPA: 8.2.2 Reducción de los factores de riesgo en los entornos: laboral -Fortalecimiento de capacidades en los trabajadores y empleadores para la gestión del riesgos laborales relacionadas con el consumo SPA. generan acciones correctivas o de mejora con responsables y fechas definidas?</t>
  </si>
  <si>
    <t>Ley 2354 del 9-05-2024 Congreso por medio de la cual se molifica el art 1° de la ley 1335 de 2009 y se dictan otras disposiciones</t>
  </si>
  <si>
    <t>1. ¿La empresa ha identificado y documentado en la matriz legal las obligaciones derivadas de Ley 2354 del 9-05-2024 Congreso por medio de la cual se molifica el art 1° de la ley 1335 de 2009 y se dictan otras disposiciones y su relación con el SG-SST?
2. ¿Las políticas, procedimientos y programas del SG-SST incorporan de forma explícita los lineamientos establecidos en Ley 2354 del 9-05-2024 Congreso por medio de la cual se molifica el art 1° de la ley 1335 de 2009 y se dictan otras disposiciones?
3. ¿Existe evidencia documental (actas, comunicaciones, registros, contratos, entre otros) que demuestre la aplicación de Ley 2354 del 9-05-2024 Congreso por medio de la cual se molifica el art 1° de la ley 1335 de 2009 y se dictan otras disposiciones en la organización?
4. ¿Se ha socializado con trabajadores, líderes y responsables del SG-SST el contenido y alcance de Ley 2354 del 9-05-2024 Congreso por medio de la cual se molifica el art 1° de la ley 1335 de 2009 y se dictan otras disposiciones y sus implicaciones en seguridad y salud en el trabajo?
5. ¿Se realiza seguimiento periódico al cumplimiento de Ley 2354 del 9-05-2024 Congreso por medio de la cual se molifica el art 1° de la ley 1335 de 2009 y se dictan otras disposiciones, dejando soportes de las revisiones y acciones de mejora cuando se identifican brechas?
6. ¿Los cambios o reformas a Ley 2354 del 9-05-2024 Congreso por medio de la cual se molifica el art 1° de la ley 1335 de 2009 y se dictan otras disposiciones se registran oportunamente en la matriz legal y se comunican a los procesos impactados?</t>
  </si>
  <si>
    <t>Resolución 624 del 8-04-2025 Minsalud adopta el Manual para la señalización de los ambientes 100% libres de humo de tabaco y aerosoles emitidos por sus sucedáneos e imitadores</t>
  </si>
  <si>
    <t>1. ¿La empresa ha identificado los requisitos específicos de Resolución 624 del 8-04-2025 Minsalud adopta el Manual para la señalización de los ambientes 100% libres de humo de tabaco y aerosoles emitidos por sus sucedáneos e imitadores que aplican a su actividad económica y tamaño?
2. ¿Se dispone de procedimientos, instructivos o formatos que permitan cumplir con las exigencias técnicas y administrativas de Resolución 624 del 8-04-2025 Minsalud adopta el Manual para la señalización de los ambientes 100% libres de humo de tabaco y aerosoles emitidos por sus sucedáneos e imitadores?
3. ¿Existen registros (informes, actas, listados, certificados, reportes en plataformas) que evidencien el cumplimiento de Resolución 624 del 8-04-2025 Minsalud adopta el Manual para la señalización de los ambientes 100% libres de humo de tabaco y aerosoles emitidos por sus sucedáneos e imitadores?
4. ¿Los responsables del SG-SST realizan seguimiento periódico a los ítems de Resolución 624 del 8-04-2025 Minsalud adopta el Manual para la señalización de los ambientes 100% libres de humo de tabaco y aerosoles emitidos por sus sucedáneos e imitadores incluidos en la matriz legal y documentan los resultados?
5. ¿Se han comunicado los requisitos de Resolución 624 del 8-04-2025 Minsalud adopta el Manual para la señalización de los ambientes 100% libres de humo de tabaco y aerosoles emitidos por sus sucedáneos e imitadores a los trabajadores, contratistas y proveedores que se ven impactados por esta norma?
6. ¿Las no conformidades asociadas al cumplimiento de Resolución 624 del 8-04-2025 Minsalud adopta el Manual para la señalización de los ambientes 100% libres de humo de tabaco y aerosoles emitidos por sus sucedáneos e imitadores generan acciones correctivas o de mejora con responsables y fechas definidas?</t>
  </si>
  <si>
    <t>Virus, Hongos, Bacterias, parásitos, picaduras, mordedura, Instalaciones sanitarias</t>
  </si>
  <si>
    <t>Resolución 2400/79 Art. 17 al 22 se establecen controles para evitar la presencia de gérmenes en los puestos de trabajo productores  de  enfermedades  como infecciones  fungosas,  ántrax,  infecciones  sépticas,  fiebre  ondulante   etc.</t>
  </si>
  <si>
    <t>1. ¿La empresa ha identificado los requisitos específicos de Resolución 2400/79 Art. 17 al 22 se establecen controles para evitar la presencia de gérmenes en los puestos de trabajo productores de enfermedades como infecciones fungosas, ántrax, infecciones sépticas, fiebre ondulante etc. que aplican a su actividad económica y tamaño?
2. ¿Se dispone de procedimientos, instructivos o formatos que permitan cumplir con las exigencias técnicas y administrativas de Resolución 2400/79 Art. 17 al 22 se establecen controles para evitar la presencia de gérmenes en los puestos de trabajo productores de enfermedades como infecciones fungosas, ántrax, infecciones sépticas, fiebre ondulante etc.?
3. ¿Existen registros (informes, actas, listados, certificados, reportes en plataformas) que evidencien el cumplimiento de Resolución 2400/79 Art. 17 al 22 se establecen controles para evitar la presencia de gérmenes en los puestos de trabajo productores de enfermedades como infecciones fungosas, ántrax, infecciones sépticas, fiebre ondulante etc.?
4. ¿Los responsables del SG-SST realizan seguimiento periódico a los ítems de Resolución 2400/79 Art. 17 al 22 se establecen controles para evitar la presencia de gérmenes en los puestos de trabajo productores de enfermedades como infecciones fungosas, ántrax, infecciones sépticas, fiebre ondulante etc. incluidos en la matriz legal y documentan los resultados?
5. ¿Se han comunicado los requisitos de Resolución 2400/79 Art. 17 al 22 se establecen controles para evitar la presencia de gérmenes en los puestos de trabajo productores de enfermedades como infecciones fungosas, ántrax, infecciones sépticas, fiebre ondulante etc. a los trabajadores, contratistas y proveedores que se ven impactados por esta norma?
6. ¿Las no conformidades asociadas al cumplimiento de Resolución 2400/79 Art. 17 al 22 se establecen controles para evitar la presencia de gérmenes en los puestos de trabajo productores de enfermedades como infecciones fungosas, ántrax, infecciones sépticas, fiebre ondulante etc. generan acciones correctivas o de mejora con responsables y fechas definidas?</t>
  </si>
  <si>
    <t>Ley 9 de 1979 (Art. 28, 207)</t>
  </si>
  <si>
    <t>1. ¿La empresa ha identificado y documentado en la matriz legal las obligaciones derivadas de Ley 9 de 1979 (Art. 28, 207) y su relación con el SG-SST?
2. ¿Las políticas, procedimientos y programas del SG-SST incorporan de forma explícita los lineamientos establecidos en Ley 9 de 1979 (Art. 28, 207)?
3. ¿Existe evidencia documental (actas, comunicaciones, registros, contratos, entre otros) que demuestre la aplicación de Ley 9 de 1979 (Art. 28, 207) en la organización?
4. ¿Se ha socializado con trabajadores, líderes y responsables del SG-SST el contenido y alcance de Ley 9 de 1979 (Art. 28, 207) y sus implicaciones en seguridad y salud en el trabajo?
5. ¿Se realiza seguimiento periódico al cumplimiento de Ley 9 de 1979 (Art. 28, 207), dejando soportes de las revisiones y acciones de mejora cuando se identifican brechas?
6. ¿Los cambios o reformas a Ley 9 de 1979 (Art. 28, 207) se registran oportunamente en la matriz legal y se comunican a los procesos impactados?</t>
  </si>
  <si>
    <t>Decreto 1477 del 2014 tabla de Enfermedades Laborales</t>
  </si>
  <si>
    <t>1. ¿El SG-SST incorpora los requisitos establecidos en Decreto 1477 del 2014 tabla de Enfermedades Laborales dentro de sus procedimientos, estándares y controles operativos?
2. ¿Se cuenta con documentación actualizada (procedimientos, instructivos, protocolos) que evidencie la implementación de lo definido en Decreto 1477 del 2014 tabla de Enfermedades Laborales?
3. ¿Se verifica de manera periódica el cumplimiento de Decreto 1477 del 2014 tabla de Enfermedades Laborales en auditorías internas, inspecciones o revisiones de la matriz legal?
4. ¿Los responsables de cada proceso conocen las obligaciones derivadas de Decreto 1477 del 2014 tabla de Enfermedades Laborales que les aplican y cuentan con los recursos para cumplirlas?
5. ¿Se conservan registros (informes, actas, listas de verificación, reportes) que demuestren la aplicación práctica de Decreto 1477 del 2014 tabla de Enfermedades Laborales en la empresa?
6. ¿Las actualizaciones o derogatorias relacionadas con Decreto 1477 del 2014 tabla de Enfermedades Laborales se reflejan oportunamente en la matriz legal y en los documentos del SG-SST?</t>
  </si>
  <si>
    <t>Circular conjunta externa 06 13/02/2020  Directrices para el fortalecimiento de las medidas de prevención y atención integral de la Hepatitis A y de las acciones de vigilancia y control para este evento.</t>
  </si>
  <si>
    <t>1. ¿La empresa conoce y ha analizado los lineamientos impartidos en Circular conjunta externa 06 13/02/2020 Directrices para el fortalecimiento de las medidas de prevención y atención integral de la Hepatitis A y de las acciones de vigilancia y control para este evento. frente a su actividad y condiciones de trabajo?
2. ¿Se han incorporado en los procedimientos internos las orientaciones y criterios definidos en Circular conjunta externa 06 13/02/2020 Directrices para el fortalecimiento de las medidas de prevención y atención integral de la Hepatitis A y de las acciones de vigilancia y control para este evento.?
3. ¿Existe evidencia de comunicación interna (correos, circulares, actas) sobre el contenido de Circular conjunta externa 06 13/02/2020 Directrices para el fortalecimiento de las medidas de prevención y atención integral de la Hepatitis A y de las acciones de vigilancia y control para este evento. a las áreas responsables?
4. ¿Se verifica en auditorías o revisiones internas el cumplimiento de las instrucciones dadas en Circular conjunta externa 06 13/02/2020 Directrices para el fortalecimiento de las medidas de prevención y atención integral de la Hepatitis A y de las acciones de vigilancia y control para este evento.?
5. ¿Los cambios o nuevas circulares que complementan o sustituyen a Circular conjunta externa 06 13/02/2020 Directrices para el fortalecimiento de las medidas de prevención y atención integral de la Hepatitis A y de las acciones de vigilancia y control para este evento. se actualizan oportunamente en la matriz legal?
6. ¿Se conservan registros de las decisiones tomadas a partir de Circular conjunta externa 06 13/02/2020 Directrices para el fortalecimiento de las medidas de prevención y atención integral de la Hepatitis A y de las acciones de vigilancia y control para este evento. en relación con el SG-SST?</t>
  </si>
  <si>
    <t>Decreto 1543 de 1997, Reglamenta el manejo de la infección por el Virus de Inmunodeficiencia Humana (VIH), el Síndrome de la Inmunodeficiencia Adquirida (SIDA)</t>
  </si>
  <si>
    <t>1. ¿El SG-SST incorpora los requisitos establecidos en Decreto 1543 de 1997, Reglamenta el manejo de la infección por el Virus de Inmunodeficiencia Humana (VIH), el Síndrome de la Inmunodeficiencia Adquirida (SIDA) dentro de sus procedimientos, estándares y controles operativos?
2. ¿Se cuenta con documentación actualizada (procedimientos, instructivos, protocolos) que evidencie la implementación de lo definido en Decreto 1543 de 1997, Reglamenta el manejo de la infección por el Virus de Inmunodeficiencia Humana (VIH), el Síndrome de la Inmunodeficiencia Adquirida (SIDA)?
3. ¿Se verifica de manera periódica el cumplimiento de Decreto 1543 de 1997, Reglamenta el manejo de la infección por el Virus de Inmunodeficiencia Humana (VIH), el Síndrome de la Inmunodeficiencia Adquirida (SIDA) en auditorías internas, inspecciones o revisiones de la matriz legal?
4. ¿Los responsables de cada proceso conocen las obligaciones derivadas de Decreto 1543 de 1997, Reglamenta el manejo de la infección por el Virus de Inmunodeficiencia Humana (VIH), el Síndrome de la Inmunodeficiencia Adquirida (SIDA) que les aplican y cuentan con los recursos para cumplirlas?
5. ¿Se conservan registros (informes, actas, listas de verificación, reportes) que demuestren la aplicación práctica de Decreto 1543 de 1997, Reglamenta el manejo de la infección por el Virus de Inmunodeficiencia Humana (VIH), el Síndrome de la Inmunodeficiencia Adquirida (SIDA) en la empresa?
6. ¿Las actualizaciones o derogatorias relacionadas con Decreto 1543 de 1997, Reglamenta el manejo de la infección por el Virus de Inmunodeficiencia Humana (VIH), el Síndrome de la Inmunodeficiencia Adquirida (SIDA) se reflejan oportunamente en la matriz legal y en los documentos del SG-SST?</t>
  </si>
  <si>
    <t>Resolución 2468 del 1-07-2022 Min trabajo adoptas las guía para prevenir exposición riesgo Biológico, Circular externa 052 del 9-12.2022 Instrucciones para la intensificación y fortalecimiento de las acciones de atención integral y control de la Infección Respiratoria Aguda (IRA)</t>
  </si>
  <si>
    <t>1. ¿La empresa ha identificado los requisitos específicos de Resolución 2468 del 1-07-2022 Min trabajo adoptas las guía para prevenir exposición riesgo Biológico, Circular externa 052 del 9-12.2022 Instrucciones para la intensificación y fortalecimiento de las acciones de atención integral y control de la Infección Respiratoria Aguda (IRA) que aplican a su actividad económica y tamaño?
2. ¿Se dispone de procedimientos, instructivos o formatos que permitan cumplir con las exigencias técnicas y administrativas de Resolución 2468 del 1-07-2022 Min trabajo adoptas las guía para prevenir exposición riesgo Biológico, Circular externa 052 del 9-12.2022 Instrucciones para la intensificación y fortalecimiento de las acciones de atención integral y control de la Infección Respiratoria Aguda (IRA)?
3. ¿Existen registros (informes, actas, listados, certificados, reportes en plataformas) que evidencien el cumplimiento de Resolución 2468 del 1-07-2022 Min trabajo adoptas las guía para prevenir exposición riesgo Biológico, Circular externa 052 del 9-12.2022 Instrucciones para la intensificación y fortalecimiento de las acciones de atención integral y control de la Infección Respiratoria Aguda (IRA)?
4. ¿Los responsables del SG-SST realizan seguimiento periódico a los ítems de Resolución 2468 del 1-07-2022 Min trabajo adoptas las guía para prevenir exposición riesgo Biológico, Circular externa 052 del 9-12.2022 Instrucciones para la intensificación y fortalecimiento de las acciones de atención integral y control de la Infección Respiratoria Aguda (IRA) incluidos en la matriz legal y documentan los resultados?
5. ¿Se han comunicado los requisitos de Resolución 2468 del 1-07-2022 Min trabajo adoptas las guía para prevenir exposición riesgo Biológico, Circular externa 052 del 9-12.2022 Instrucciones para la intensificación y fortalecimiento de las acciones de atención integral y control de la Infección Respiratoria Aguda (IRA) a los trabajadores, contratistas y proveedores que se ven impactados por esta norma?
6. ¿Las no conformidades asociadas al cumplimiento de Resolución 2468 del 1-07-2022 Min trabajo adoptas las guía para prevenir exposición riesgo Biológico, Circular externa 052 del 9-12.2022 Instrucciones para la intensificación y fortalecimiento de las acciones de atención integral y control de la Infección Respiratoria Aguda (IRA) generan acciones correctivas o de mejora con responsables y fechas definidas?</t>
  </si>
  <si>
    <t>Covid-19, Circular 048 del 24/10/2022 Minsalud, Instrucciones para atender los accidentes ofídicos</t>
  </si>
  <si>
    <t>1. ¿La empresa ha registrado en la matriz legal las obligaciones derivadas de Covid-19, Circular 048 del 24/10/2022 Minsalud, Instrucciones para atender los accidentes ofídicos y ha definido su aplicabilidad?
2. ¿Los procedimientos y controles del SG-SST contemplan lo establecido en Covid-19, Circular 048 del 24/10/2022 Minsalud, Instrucciones para atender los accidentes ofídicos para las actividades y procesos de la organización?
3. ¿Existe evidencia documental (registros, informes, actas, comunicaciones) que demuestre la aplicación de Covid-19, Circular 048 del 24/10/2022 Minsalud, Instrucciones para atender los accidentes ofídicos?
4. ¿Se ha socializado el contenido de Covid-19, Circular 048 del 24/10/2022 Minsalud, Instrucciones para atender los accidentes ofídicos con los responsables de cada proceso y con los trabajadores cuando es pertinente?
5. ¿Se revisa periódicamente el cumplimiento de Covid-19, Circular 048 del 24/10/2022 Minsalud, Instrucciones para atender los accidentes ofídicos y se generan planes de acción cuando se identifican desviaciones?
6. ¿La matriz legal se mantiene actualizada frente a modificaciones, derogatorias o nuevas disposiciones relacionadas con Covid-19, Circular 048 del 24/10/2022 Minsalud, Instrucciones para atender los accidentes ofídicos?</t>
  </si>
  <si>
    <t>Resolución 986 del 21-06-2023 Min salud Lineamientos vacunas COVID-19</t>
  </si>
  <si>
    <t>1. ¿La empresa ha identificado los requisitos específicos de Resolución 986 del 21-06-2023 Min salud Lineamientos vacunas COVID-19 que aplican a su actividad económica y tamaño?
2. ¿Se dispone de procedimientos, instructivos o formatos que permitan cumplir con las exigencias técnicas y administrativas de Resolución 986 del 21-06-2023 Min salud Lineamientos vacunas COVID-19?
3. ¿Existen registros (informes, actas, listados, certificados, reportes en plataformas) que evidencien el cumplimiento de Resolución 986 del 21-06-2023 Min salud Lineamientos vacunas COVID-19?
4. ¿Los responsables del SG-SST realizan seguimiento periódico a los ítems de Resolución 986 del 21-06-2023 Min salud Lineamientos vacunas COVID-19 incluidos en la matriz legal y documentan los resultados?
5. ¿Se han comunicado los requisitos de Resolución 986 del 21-06-2023 Min salud Lineamientos vacunas COVID-19 a los trabajadores, contratistas y proveedores que se ven impactados por esta norma?
6. ¿Las no conformidades asociadas al cumplimiento de Resolución 986 del 21-06-2023 Min salud Lineamientos vacunas COVID-19 generan acciones correctivas o de mejora con responsables y fechas definidas?</t>
  </si>
  <si>
    <t>Resolución 2121 del 18-12-2023 Minsalud deroga la Resolución 555 del 5-04 de 2023.</t>
  </si>
  <si>
    <t>1. ¿La empresa ha identificado los requisitos específicos de Resolución 2121 del 18-12-2023 Minsalud deroga la Resolución 555 del 5-04 de 2023. que aplican a su actividad económica y tamaño?
2. ¿Se dispone de procedimientos, instructivos o formatos que permitan cumplir con las exigencias técnicas y administrativas de Resolución 2121 del 18-12-2023 Minsalud deroga la Resolución 555 del 5-04 de 2023.?
3. ¿Existen registros (informes, actas, listados, certificados, reportes en plataformas) que evidencien el cumplimiento de Resolución 2121 del 18-12-2023 Minsalud deroga la Resolución 555 del 5-04 de 2023.?
4. ¿Los responsables del SG-SST realizan seguimiento periódico a los ítems de Resolución 2121 del 18-12-2023 Minsalud deroga la Resolución 555 del 5-04 de 2023. incluidos en la matriz legal y documentan los resultados?
5. ¿Se han comunicado los requisitos de Resolución 2121 del 18-12-2023 Minsalud deroga la Resolución 555 del 5-04 de 2023. a los trabajadores, contratistas y proveedores que se ven impactados por esta norma?
6. ¿Las no conformidades asociadas al cumplimiento de Resolución 2121 del 18-12-2023 Minsalud deroga la Resolución 555 del 5-04 de 2023. generan acciones correctivas o de mejora con responsables y fechas definidas?</t>
  </si>
  <si>
    <t xml:space="preserve">Resolución 691 del 16/04/2025 Minsalud Por medio de la cual se declara la emergencia sanitaria en todo el territorio nacional por el brote causado por el virus de la fiebre amarilla y se adoptan medidas </t>
  </si>
  <si>
    <t>1. ¿La empresa ha identificado los requisitos específicos de Resolución 691 del 16/04/2025 Minsalud Por medio de la cual se declara la emergencia sanitaria en todo el territorio nacional por el brote causado por el virus de la fiebre amarilla y se adoptan medidas que aplican a su actividad económica y tamaño?
2. ¿Se dispone de procedimientos, instructivos o formatos que permitan cumplir con las exigencias técnicas y administrativas de Resolución 691 del 16/04/2025 Minsalud Por medio de la cual se declara la emergencia sanitaria en todo el territorio nacional por el brote causado por el virus de la fiebre amarilla y se adoptan medidas?
3. ¿Existen registros (informes, actas, listados, certificados, reportes en plataformas) que evidencien el cumplimiento de Resolución 691 del 16/04/2025 Minsalud Por medio de la cual se declara la emergencia sanitaria en todo el territorio nacional por el brote causado por el virus de la fiebre amarilla y se adoptan medidas?
4. ¿Los responsables del SG-SST realizan seguimiento periódico a los ítems de Resolución 691 del 16/04/2025 Minsalud Por medio de la cual se declara la emergencia sanitaria en todo el territorio nacional por el brote causado por el virus de la fiebre amarilla y se adoptan medidas incluidos en la matriz legal y documentan los resultados?
5. ¿Se han comunicado los requisitos de Resolución 691 del 16/04/2025 Minsalud Por medio de la cual se declara la emergencia sanitaria en todo el territorio nacional por el brote causado por el virus de la fiebre amarilla y se adoptan medidas a los trabajadores, contratistas y proveedores que se ven impactados por esta norma?
6. ¿Las no conformidades asociadas al cumplimiento de Resolución 691 del 16/04/2025 Minsalud Por medio de la cual se declara la emergencia sanitaria en todo el territorio nacional por el brote causado por el virus de la fiebre amarilla y se adoptan medidas generan acciones correctivas o de mejora con responsables y fechas definidas?</t>
  </si>
  <si>
    <t>prevención y control, Circular 045 del 26-04-2025 Mintrabajo Acciones de promoción y prevención en riesgos laborales para los y las trabajadoras ante la declaración de emergencia sanitaria por brote del virus de la fiebre amarilla, en todo el territorio nacional, mediante la resolución 691 de 2025 expedida por el ministerio de salud y protección social.</t>
  </si>
  <si>
    <t>1. ¿La empresa ha registrado en la matriz legal las obligaciones derivadas de prevención y control, Circular 045 del 26-04-2025 Mintrabajo Acciones de promoción y prevención en riesgos laborales para los y las trabajadoras ante la declaración de emergencia sanitaria por brote del virus de la fiebre amarilla, en todo el territorio nacional, mediante la resolución 691 de 2025 expedida por el ministerio de salud y protección social. y ha definido su aplicabilidad?
2. ¿Los procedimientos y controles del SG-SST contemplan lo establecido en prevención y control, Circular 045 del 26-04-2025 Mintrabajo Acciones de promoción y prevención en riesgos laborales para los y las trabajadoras ante la declaración de emergencia sanitaria por brote del virus de la fiebre amarilla, en todo el territorio nacional, mediante la resolución 691 de 2025 expedida por el ministerio de salud y protección social. para las actividades y procesos de la organización?
3. ¿Existe evidencia documental (registros, informes, actas, comunicaciones) que demuestre la aplicación de prevención y control, Circular 045 del 26-04-2025 Mintrabajo Acciones de promoción y prevención en riesgos laborales para los y las trabajadoras ante la declaración de emergencia sanitaria por brote del virus de la fiebre amarilla, en todo el territorio nacional, mediante la resolución 691 de 2025 expedida por el ministerio de salud y protección social.?
4. ¿Se ha socializado el contenido de prevención y control, Circular 045 del 26-04-2025 Mintrabajo Acciones de promoción y prevención en riesgos laborales para los y las trabajadoras ante la declaración de emergencia sanitaria por brote del virus de la fiebre amarilla, en todo el territorio nacional, mediante la resolución 691 de 2025 expedida por el ministerio de salud y protección social. con los responsables de cada proceso y con los trabajadores cuando es pertinente?
5. ¿Se revisa periódicamente el cumplimiento de prevención y control, Circular 045 del 26-04-2025 Mintrabajo Acciones de promoción y prevención en riesgos laborales para los y las trabajadoras ante la declaración de emergencia sanitaria por brote del virus de la fiebre amarilla, en todo el territorio nacional, mediante la resolución 691 de 2025 expedida por el ministerio de salud y protección social. y se generan planes de acción cuando se identifican desviaciones?
6. ¿La matriz legal se mantiene actualizada frente a modificaciones, derogatorias o nuevas disposiciones relacionadas con prevención y control, Circular 045 del 26-04-2025 Mintrabajo Acciones de promoción y prevención en riesgos laborales para los y las trabajadoras ante la declaración de emergencia sanitaria por brote del virus de la fiebre amarilla, en todo el territorio nacional, mediante la resolución 691 de 2025 expedida por el ministerio de salud y protección social.?</t>
  </si>
  <si>
    <t>Virus, Hongos, Bacterias, Servicios alimenticios</t>
  </si>
  <si>
    <t xml:space="preserve">Resolución 2674 de julio 22 del 2013 Minsalud requisitos sanitarios que deben cumplir las personas naturales y/o jurídicas que ejercen actividades de fabricación, procesamiento, preparación, envase, almacenamiento, transporte, distribución y comercialización de alimentos Art. 10,11(b),13(b), 31(b), 40. Condiciones para la seguridad en procesamiento y consumo de alimentos. Otra legislación aplicable asociada al riesgo: Ley 9 de 1979 Art. 244,251,256 </t>
  </si>
  <si>
    <t>1. ¿La empresa ha identificado los requisitos específicos de Resolución 2674 de julio 22 del 2013 Minsalud requisitos sanitarios que deben cumplir las personas naturales y/o jurídicas que ejercen actividades de fabricación, procesamiento, preparación, envase, almacenamiento, transporte, distribución y comercialización de alimentos Art. 10,11(b),13(b), 31(b), 40. Condiciones para la seguridad en procesamiento y consumo de alimentos. Otra legislación aplicable asociada al riesgo: Ley 9 de 1979 Art. 244,251,256 que aplican a su actividad económica y tamaño?
2. ¿Se dispone de procedimientos, instructivos o formatos que permitan cumplir con las exigencias técnicas y administrativas de Resolución 2674 de julio 22 del 2013 Minsalud requisitos sanitarios que deben cumplir las personas naturales y/o jurídicas que ejercen actividades de fabricación, procesamiento, preparación, envase, almacenamiento, transporte, distribución y comercialización de alimentos Art. 10,11(b),13(b), 31(b), 40. Condiciones para la seguridad en procesamiento y consumo de alimentos. Otra legislación aplicable asociada al riesgo: Ley 9 de 1979 Art. 244,251,256?
3. ¿Existen registros (informes, actas, listados, certificados, reportes en plataformas) que evidencien el cumplimiento de Resolución 2674 de julio 22 del 2013 Minsalud requisitos sanitarios que deben cumplir las personas naturales y/o jurídicas que ejercen actividades de fabricación, procesamiento, preparación, envase, almacenamiento, transporte, distribución y comercialización de alimentos Art. 10,11(b),13(b), 31(b), 40. Condiciones para la seguridad en procesamiento y consumo de alimentos. Otra legislación aplicable asociada al riesgo: Ley 9 de 1979 Art. 244,251,256?
4. ¿Los responsables del SG-SST realizan seguimiento periódico a los ítems de Resolución 2674 de julio 22 del 2013 Minsalud requisitos sanitarios que deben cumplir las personas naturales y/o jurídicas que ejercen actividades de fabricación, procesamiento, preparación, envase, almacenamiento, transporte, distribución y comercialización de alimentos Art. 10,11(b),13(b), 31(b), 40. Condiciones para la seguridad en procesamiento y consumo de alimentos. Otra legislación aplicable asociada al riesgo: Ley 9 de 1979 Art. 244,251,256 incluidos en la matriz legal y documentan los resultados?
5. ¿Se han comunicado los requisitos de Resolución 2674 de julio 22 del 2013 Minsalud requisitos sanitarios que deben cumplir las personas naturales y/o jurídicas que ejercen actividades de fabricación, procesamiento, preparación, envase, almacenamiento, transporte, distribución y comercialización de alimentos Art. 10,11(b),13(b), 31(b), 40. Condiciones para la seguridad en procesamiento y consumo de alimentos. Otra legislación aplicable asociada al riesgo: Ley 9 de 1979 Art. 244,251,256 a los trabajadores, contratistas y proveedores que se ven impactados por esta norma?
6. ¿Las no conformidades asociadas al cumplimiento de Resolución 2674 de julio 22 del 2013 Minsalud requisitos sanitarios que deben cumplir las personas naturales y/o jurídicas que ejercen actividades de fabricación, procesamiento, preparación, envase, almacenamiento, transporte, distribución y comercialización de alimentos Art. 10,11(b),13(b), 31(b), 40. Condiciones para la seguridad en procesamiento y consumo de alimentos. Otra legislación aplicable asociada al riesgo: Ley 9 de 1979 Art. 244,251,256 generan acciones correctivas o de mejora con responsables y fechas definidas?</t>
  </si>
  <si>
    <t>Locativo: Orden y Limpieza</t>
  </si>
  <si>
    <t>Resolución  2400 del 22-05 de 1979 , Art. 29-37 Los pisos de las salas de trabajo y los corredores se mantendrán libres de desperdicios y sustancias que causen daño al  trabajador.</t>
  </si>
  <si>
    <t>1. ¿La empresa ha identificado los requisitos específicos de Resolución 2400 del 22-05 de 1979 , Art. 29-37 Los pisos de las salas de trabajo y los corredores se mantendrán libres de desperdicios y sustancias que causen daño al trabajador. que aplican a su actividad económica y tamaño?
2. ¿Se dispone de procedimientos, instructivos o formatos que permitan cumplir con las exigencias técnicas y administrativas de Resolución 2400 del 22-05 de 1979 , Art. 29-37 Los pisos de las salas de trabajo y los corredores se mantendrán libres de desperdicios y sustancias que causen daño al trabajador.?
3. ¿Existen registros (informes, actas, listados, certificados, reportes en plataformas) que evidencien el cumplimiento de Resolución 2400 del 22-05 de 1979 , Art. 29-37 Los pisos de las salas de trabajo y los corredores se mantendrán libres de desperdicios y sustancias que causen daño al trabajador.?
4. ¿Los responsables del SG-SST realizan seguimiento periódico a los ítems de Resolución 2400 del 22-05 de 1979 , Art. 29-37 Los pisos de las salas de trabajo y los corredores se mantendrán libres de desperdicios y sustancias que causen daño al trabajador. incluidos en la matriz legal y documentan los resultados?
5. ¿Se han comunicado los requisitos de Resolución 2400 del 22-05 de 1979 , Art. 29-37 Los pisos de las salas de trabajo y los corredores se mantendrán libres de desperdicios y sustancias que causen daño al trabajador. a los trabajadores, contratistas y proveedores que se ven impactados por esta norma?
6. ¿Las no conformidades asociadas al cumplimiento de Resolución 2400 del 22-05 de 1979 , Art. 29-37 Los pisos de las salas de trabajo y los corredores se mantendrán libres de desperdicios y sustancias que causen daño al trabajador. generan acciones correctivas o de mejora con responsables y fechas definidas?</t>
  </si>
  <si>
    <t>Ley 9 de 1979 (Art. 207), D. 1072/15 art. 2.2.4.6.15, 23 y 24,</t>
  </si>
  <si>
    <t>1. ¿La empresa ha identificado y documentado en la matriz legal las obligaciones derivadas de Ley 9 de 1979 (Art. 207), D. 1072/15 art. 2.2.4.6.15, 23 y 24, y su relación con el SG-SST?
2. ¿Las políticas, procedimientos y programas del SG-SST incorporan de forma explícita los lineamientos establecidos en Ley 9 de 1979 (Art. 207), D. 1072/15 art. 2.2.4.6.15, 23 y 24,?
3. ¿Existe evidencia documental (actas, comunicaciones, registros, contratos, entre otros) que demuestre la aplicación de Ley 9 de 1979 (Art. 207), D. 1072/15 art. 2.2.4.6.15, 23 y 24, en la organización?
4. ¿Se ha socializado con trabajadores, líderes y responsables del SG-SST el contenido y alcance de Ley 9 de 1979 (Art. 207), D. 1072/15 art. 2.2.4.6.15, 23 y 24, y sus implicaciones en seguridad y salud en el trabajo?
5. ¿Se realiza seguimiento periódico al cumplimiento de Ley 9 de 1979 (Art. 207), D. 1072/15 art. 2.2.4.6.15, 23 y 24,, dejando soportes de las revisiones y acciones de mejora cuando se identifican brechas?
6. ¿Los cambios o reformas a Ley 9 de 1979 (Art. 207), D. 1072/15 art. 2.2.4.6.15, 23 y 24, se registran oportunamente en la matriz legal y se comunican a los procesos impactados?</t>
  </si>
  <si>
    <t>Resolución 668 de 2016 sobre uso racional de bolsas plásticas y se adoptan otras disposiciones.</t>
  </si>
  <si>
    <t>1. ¿La empresa ha identificado los requisitos específicos de Resolución 668 de 2016 sobre uso racional de bolsas plásticas y se adoptan otras disposiciones. que aplican a su actividad económica y tamaño?
2. ¿Se dispone de procedimientos, instructivos o formatos que permitan cumplir con las exigencias técnicas y administrativas de Resolución 668 de 2016 sobre uso racional de bolsas plásticas y se adoptan otras disposiciones.?
3. ¿Existen registros (informes, actas, listados, certificados, reportes en plataformas) que evidencien el cumplimiento de Resolución 668 de 2016 sobre uso racional de bolsas plásticas y se adoptan otras disposiciones.?
4. ¿Los responsables del SG-SST realizan seguimiento periódico a los ítems de Resolución 668 de 2016 sobre uso racional de bolsas plásticas y se adoptan otras disposiciones. incluidos en la matriz legal y documentan los resultados?
5. ¿Se han comunicado los requisitos de Resolución 668 de 2016 sobre uso racional de bolsas plásticas y se adoptan otras disposiciones. a los trabajadores, contratistas y proveedores que se ven impactados por esta norma?
6. ¿Las no conformidades asociadas al cumplimiento de Resolución 668 de 2016 sobre uso racional de bolsas plásticas y se adoptan otras disposiciones. generan acciones correctivas o de mejora con responsables y fechas definidas?</t>
  </si>
  <si>
    <t>Resolución 2184 26-12-2019 Por la cual se modifica la Resolución 668 de 2016 sobre uso racional de bolsas plásticas y se adoptan otras disposiciones.</t>
  </si>
  <si>
    <t>1. ¿La empresa ha identificado los requisitos específicos de Resolución 2184 26-12-2019 Por la cual se modifica la Resolución 668 de 2016 sobre uso racional de bolsas plásticas y se adoptan otras disposiciones. que aplican a su actividad económica y tamaño?
2. ¿Se dispone de procedimientos, instructivos o formatos que permitan cumplir con las exigencias técnicas y administrativas de Resolución 2184 26-12-2019 Por la cual se modifica la Resolución 668 de 2016 sobre uso racional de bolsas plásticas y se adoptan otras disposiciones.?
3. ¿Existen registros (informes, actas, listados, certificados, reportes en plataformas) que evidencien el cumplimiento de Resolución 2184 26-12-2019 Por la cual se modifica la Resolución 668 de 2016 sobre uso racional de bolsas plásticas y se adoptan otras disposiciones.?
4. ¿Los responsables del SG-SST realizan seguimiento periódico a los ítems de Resolución 2184 26-12-2019 Por la cual se modifica la Resolución 668 de 2016 sobre uso racional de bolsas plásticas y se adoptan otras disposiciones. incluidos en la matriz legal y documentan los resultados?
5. ¿Se han comunicado los requisitos de Resolución 2184 26-12-2019 Por la cual se modifica la Resolución 668 de 2016 sobre uso racional de bolsas plásticas y se adoptan otras disposiciones. a los trabajadores, contratistas y proveedores que se ven impactados por esta norma?
6. ¿Las no conformidades asociadas al cumplimiento de Resolución 2184 26-12-2019 Por la cual se modifica la Resolución 668 de 2016 sobre uso racional de bolsas plásticas y se adoptan otras disposiciones. generan acciones correctivas o de mejora con responsables y fechas definidas?</t>
  </si>
  <si>
    <t>Resolución 1344 24-12-2020 amplió plazo para sector salud y otras actividades solo adicionó parágrafo a la 2184)</t>
  </si>
  <si>
    <t>1. ¿La empresa ha identificado los requisitos específicos de Resolución 1344 24-12-2020 amplió plazo para sector salud y otras actividades solo adicionó parágrafo a la 2184) que aplican a su actividad económica y tamaño?
2. ¿Se dispone de procedimientos, instructivos o formatos que permitan cumplir con las exigencias técnicas y administrativas de Resolución 1344 24-12-2020 amplió plazo para sector salud y otras actividades solo adicionó parágrafo a la 2184)?
3. ¿Existen registros (informes, actas, listados, certificados, reportes en plataformas) que evidencien el cumplimiento de Resolución 1344 24-12-2020 amplió plazo para sector salud y otras actividades solo adicionó parágrafo a la 2184)?
4. ¿Los responsables del SG-SST realizan seguimiento periódico a los ítems de Resolución 1344 24-12-2020 amplió plazo para sector salud y otras actividades solo adicionó parágrafo a la 2184) incluidos en la matriz legal y documentan los resultados?
5. ¿Se han comunicado los requisitos de Resolución 1344 24-12-2020 amplió plazo para sector salud y otras actividades solo adicionó parágrafo a la 2184) a los trabajadores, contratistas y proveedores que se ven impactados por esta norma?
6. ¿Las no conformidades asociadas al cumplimiento de Resolución 1344 24-12-2020 amplió plazo para sector salud y otras actividades solo adicionó parágrafo a la 2184) generan acciones correctivas o de mejora con responsables y fechas definidas?</t>
  </si>
  <si>
    <t>Ley 2232 del 7-07 2022 por la cual se establecen medidas tendientes a la reducción gradual de la producción y consumo de ciertos productos plásticos de un solo uso y se dictan otras disposiciones</t>
  </si>
  <si>
    <t>1. ¿La empresa ha identificado y documentado en la matriz legal las obligaciones derivadas de Ley 2232 del 7-07 2022 por la cual se establecen medidas tendientes a la reducción gradual de la producción y consumo de ciertos productos plásticos de un solo uso y se dictan otras disposiciones y su relación con el SG-SST?
2. ¿Las políticas, procedimientos y programas del SG-SST incorporan de forma explícita los lineamientos establecidos en Ley 2232 del 7-07 2022 por la cual se establecen medidas tendientes a la reducción gradual de la producción y consumo de ciertos productos plásticos de un solo uso y se dictan otras disposiciones?
3. ¿Existe evidencia documental (actas, comunicaciones, registros, contratos, entre otros) que demuestre la aplicación de Ley 2232 del 7-07 2022 por la cual se establecen medidas tendientes a la reducción gradual de la producción y consumo de ciertos productos plásticos de un solo uso y se dictan otras disposiciones en la organización?
4. ¿Se ha socializado con trabajadores, líderes y responsables del SG-SST el contenido y alcance de Ley 2232 del 7-07 2022 por la cual se establecen medidas tendientes a la reducción gradual de la producción y consumo de ciertos productos plásticos de un solo uso y se dictan otras disposiciones y sus implicaciones en seguridad y salud en el trabajo?
5. ¿Se realiza seguimiento periódico al cumplimiento de Ley 2232 del 7-07 2022 por la cual se establecen medidas tendientes a la reducción gradual de la producción y consumo de ciertos productos plásticos de un solo uso y se dictan otras disposiciones, dejando soportes de las revisiones y acciones de mejora cuando se identifican brechas?
6. ¿Los cambios o reformas a Ley 2232 del 7-07 2022 por la cual se establecen medidas tendientes a la reducción gradual de la producción y consumo de ciertos productos plásticos de un solo uso y se dictan otras disposiciones se registran oportunamente en la matriz legal y se comunican a los procesos impactados?</t>
  </si>
  <si>
    <t>Mecánico</t>
  </si>
  <si>
    <t>Resolución 2413/79 Reglamento de higiene y seguridad para la construcción</t>
  </si>
  <si>
    <t>1. ¿La empresa ha identificado los requisitos específicos de Resolución 2413/79 Reglamento de higiene y seguridad para la construcción que aplican a su actividad económica y tamaño?
2. ¿Se dispone de procedimientos, instructivos o formatos que permitan cumplir con las exigencias técnicas y administrativas de Resolución 2413/79 Reglamento de higiene y seguridad para la construcción?
3. ¿Existen registros (informes, actas, listados, certificados, reportes en plataformas) que evidencien el cumplimiento de Resolución 2413/79 Reglamento de higiene y seguridad para la construcción?
4. ¿Los responsables del SG-SST realizan seguimiento periódico a los ítems de Resolución 2413/79 Reglamento de higiene y seguridad para la construcción incluidos en la matriz legal y documentan los resultados?
5. ¿Se han comunicado los requisitos de Resolución 2413/79 Reglamento de higiene y seguridad para la construcción a los trabajadores, contratistas y proveedores que se ven impactados por esta norma?
6. ¿Las no conformidades asociadas al cumplimiento de Resolución 2413/79 Reglamento de higiene y seguridad para la construcción generan acciones correctivas o de mejora con responsables y fechas definidas?</t>
  </si>
  <si>
    <t>Decreto 539 de 2022 Por el cual se expide el Reglamento de Higiene y Seguridad en las Labores Mineras a Cielo Abierto art 49 al 55</t>
  </si>
  <si>
    <t>1. ¿El SG-SST incorpora los requisitos establecidos en Decreto 539 de 2022 Por el cual se expide el Reglamento de Higiene y Seguridad en las Labores Mineras a Cielo Abierto art 49 al 55 dentro de sus procedimientos, estándares y controles operativos?
2. ¿Se cuenta con documentación actualizada (procedimientos, instructivos, protocolos) que evidencie la implementación de lo definido en Decreto 539 de 2022 Por el cual se expide el Reglamento de Higiene y Seguridad en las Labores Mineras a Cielo Abierto art 49 al 55?
3. ¿Se verifica de manera periódica el cumplimiento de Decreto 539 de 2022 Por el cual se expide el Reglamento de Higiene y Seguridad en las Labores Mineras a Cielo Abierto art 49 al 55 en auditorías internas, inspecciones o revisiones de la matriz legal?
4. ¿Los responsables de cada proceso conocen las obligaciones derivadas de Decreto 539 de 2022 Por el cual se expide el Reglamento de Higiene y Seguridad en las Labores Mineras a Cielo Abierto art 49 al 55 que les aplican y cuentan con los recursos para cumplirlas?
5. ¿Se conservan registros (informes, actas, listas de verificación, reportes) que demuestren la aplicación práctica de Decreto 539 de 2022 Por el cual se expide el Reglamento de Higiene y Seguridad en las Labores Mineras a Cielo Abierto art 49 al 55 en la empresa?
6. ¿Las actualizaciones o derogatorias relacionadas con Decreto 539 de 2022 Por el cual se expide el Reglamento de Higiene y Seguridad en las Labores Mineras a Cielo Abierto art 49 al 55 se reflejan oportunamente en la matriz legal y en los documentos del SG-SST?</t>
  </si>
  <si>
    <t>Eléctrico</t>
  </si>
  <si>
    <t>Ejecutar criterios color rojo</t>
  </si>
  <si>
    <t>Resolución 2400 de 1979 (Art. 121 - 152, 371-387)</t>
  </si>
  <si>
    <t>1. ¿La empresa ha identificado los requisitos específicos de Resolución 2400 de 1979 (Art. 121 - 152, 371-387) que aplican a su actividad económica y tamaño?
2. ¿Se dispone de procedimientos, instructivos o formatos que permitan cumplir con las exigencias técnicas y administrativas de Resolución 2400 de 1979 (Art. 121 - 152, 371-387)?
3. ¿Existen registros (informes, actas, listados, certificados, reportes en plataformas) que evidencien el cumplimiento de Resolución 2400 de 1979 (Art. 121 - 152, 371-387)?
4. ¿Los responsables del SG-SST realizan seguimiento periódico a los ítems de Resolución 2400 de 1979 (Art. 121 - 152, 371-387) incluidos en la matriz legal y documentan los resultados?
5. ¿Se han comunicado los requisitos de Resolución 2400 de 1979 (Art. 121 - 152, 371-387) a los trabajadores, contratistas y proveedores que se ven impactados por esta norma?
6. ¿Las no conformidades asociadas al cumplimiento de Resolución 2400 de 1979 (Art. 121 - 152, 371-387) generan acciones correctivas o de mejora con responsables y fechas definidas?</t>
  </si>
  <si>
    <t>Resolución 40157/17</t>
  </si>
  <si>
    <t>1. ¿La empresa ha identificado los requisitos específicos de Resolución 40157/17 que aplican a su actividad económica y tamaño?
2. ¿Se dispone de procedimientos, instructivos o formatos que permitan cumplir con las exigencias técnicas y administrativas de Resolución 40157/17?
3. ¿Existen registros (informes, actas, listados, certificados, reportes en plataformas) que evidencien el cumplimiento de Resolución 40157/17?
4. ¿Los responsables del SG-SST realizan seguimiento periódico a los ítems de Resolución 40157/17 incluidos en la matriz legal y documentan los resultados?
5. ¿Se han comunicado los requisitos de Resolución 40157/17 a los trabajadores, contratistas y proveedores que se ven impactados por esta norma?
6. ¿Las no conformidades asociadas al cumplimiento de Resolución 40157/17 generan acciones correctivas o de mejora con responsables y fechas definidas?</t>
  </si>
  <si>
    <t>Resolución 40908 de 2018</t>
  </si>
  <si>
    <t>1. ¿La empresa ha identificado los requisitos específicos de Resolución 40908 de 2018 que aplican a su actividad económica y tamaño?
2. ¿Se dispone de procedimientos, instructivos o formatos que permitan cumplir con las exigencias técnicas y administrativas de Resolución 40908 de 2018?
3. ¿Existen registros (informes, actas, listados, certificados, reportes en plataformas) que evidencien el cumplimiento de Resolución 40908 de 2018?
4. ¿Los responsables del SG-SST realizan seguimiento periódico a los ítems de Resolución 40908 de 2018 incluidos en la matriz legal y documentan los resultados?
5. ¿Se han comunicado los requisitos de Resolución 40908 de 2018 a los trabajadores, contratistas y proveedores que se ven impactados por esta norma?
6. ¿Las no conformidades asociadas al cumplimiento de Resolución 40908 de 2018 generan acciones correctivas o de mejora con responsables y fechas definidas?</t>
  </si>
  <si>
    <t>Resolución 41291 de 2018</t>
  </si>
  <si>
    <t>1. ¿La empresa ha identificado los requisitos específicos de Resolución 41291 de 2018 que aplican a su actividad económica y tamaño?
2. ¿Se dispone de procedimientos, instructivos o formatos que permitan cumplir con las exigencias técnicas y administrativas de Resolución 41291 de 2018?
3. ¿Existen registros (informes, actas, listados, certificados, reportes en plataformas) que evidencien el cumplimiento de Resolución 41291 de 2018?
4. ¿Los responsables del SG-SST realizan seguimiento periódico a los ítems de Resolución 41291 de 2018 incluidos en la matriz legal y documentan los resultados?
5. ¿Se han comunicado los requisitos de Resolución 41291 de 2018 a los trabajadores, contratistas y proveedores que se ven impactados por esta norma?
6. ¿Las no conformidades asociadas al cumplimiento de Resolución 41291 de 2018 generan acciones correctivas o de mejora con responsables y fechas definidas?</t>
  </si>
  <si>
    <t>Resolución 5018 Nov 20/2019 Derogó la R 1348/09 Establece lineamientos en SST en los procesos de generación, transmisión, distribución y comercialización de la energía eléctrica y para empresas que hagan uso del sistema eléctrico Colombia, toda actividad económica que involucre peligros eléctricos: construcciones civiles, montajes, iluminación y alumbrado</t>
  </si>
  <si>
    <t>1. ¿La empresa ha identificado los requisitos específicos de Resolución 5018 Nov 20/2019 Derogó la R 1348/09 Establece lineamientos en SST en los procesos de generación, transmisión, distribución y comercialización de la energía eléctrica y para empresas que hagan uso del sistema eléctrico Colombia, toda actividad económica que involucre peligros eléctricos: construcciones civiles, montajes, iluminación y alumbrado que aplican a su actividad económica y tamaño?
2. ¿Se dispone de procedimientos, instructivos o formatos que permitan cumplir con las exigencias técnicas y administrativas de Resolución 5018 Nov 20/2019 Derogó la R 1348/09 Establece lineamientos en SST en los procesos de generación, transmisión, distribución y comercialización de la energía eléctrica y para empresas que hagan uso del sistema eléctrico Colombia, toda actividad económica que involucre peligros eléctricos: construcciones civiles, montajes, iluminación y alumbrado?
3. ¿Existen registros (informes, actas, listados, certificados, reportes en plataformas) que evidencien el cumplimiento de Resolución 5018 Nov 20/2019 Derogó la R 1348/09 Establece lineamientos en SST en los procesos de generación, transmisión, distribución y comercialización de la energía eléctrica y para empresas que hagan uso del sistema eléctrico Colombia, toda actividad económica que involucre peligros eléctricos: construcciones civiles, montajes, iluminación y alumbrado?
4. ¿Los responsables del SG-SST realizan seguimiento periódico a los ítems de Resolución 5018 Nov 20/2019 Derogó la R 1348/09 Establece lineamientos en SST en los procesos de generación, transmisión, distribución y comercialización de la energía eléctrica y para empresas que hagan uso del sistema eléctrico Colombia, toda actividad económica que involucre peligros eléctricos: construcciones civiles, montajes, iluminación y alumbrado incluidos en la matriz legal y documentan los resultados?
5. ¿Se han comunicado los requisitos de Resolución 5018 Nov 20/2019 Derogó la R 1348/09 Establece lineamientos en SST en los procesos de generación, transmisión, distribución y comercialización de la energía eléctrica y para empresas que hagan uso del sistema eléctrico Colombia, toda actividad económica que involucre peligros eléctricos: construcciones civiles, montajes, iluminación y alumbrado a los trabajadores, contratistas y proveedores que se ven impactados por esta norma?
6. ¿Las no conformidades asociadas al cumplimiento de Resolución 5018 Nov 20/2019 Derogó la R 1348/09 Establece lineamientos en SST en los procesos de generación, transmisión, distribución y comercialización de la energía eléctrica y para empresas que hagan uso del sistema eléctrico Colombia, toda actividad económica que involucre peligros eléctricos: construcciones civiles, montajes, iluminación y alumbrado generan acciones correctivas o de mejora con responsables y fechas definidas?</t>
  </si>
  <si>
    <t>Resolución 2550 24-11-2020 Por la cual se prórroga el período de transición señalado en el artículo 3 de la Resolución 5018 de 2019,</t>
  </si>
  <si>
    <t>1. ¿La empresa ha identificado los requisitos específicos de Resolución 2550 24-11-2020 Por la cual se prórroga el período de transición señalado en el artículo 3 de la Resolución 5018 de 2019, que aplican a su actividad económica y tamaño?
2. ¿Se dispone de procedimientos, instructivos o formatos que permitan cumplir con las exigencias técnicas y administrativas de Resolución 2550 24-11-2020 Por la cual se prórroga el período de transición señalado en el artículo 3 de la Resolución 5018 de 2019,?
3. ¿Existen registros (informes, actas, listados, certificados, reportes en plataformas) que evidencien el cumplimiento de Resolución 2550 24-11-2020 Por la cual se prórroga el período de transición señalado en el artículo 3 de la Resolución 5018 de 2019,?
4. ¿Los responsables del SG-SST realizan seguimiento periódico a los ítems de Resolución 2550 24-11-2020 Por la cual se prórroga el período de transición señalado en el artículo 3 de la Resolución 5018 de 2019, incluidos en la matriz legal y documentan los resultados?
5. ¿Se han comunicado los requisitos de Resolución 2550 24-11-2020 Por la cual se prórroga el período de transición señalado en el artículo 3 de la Resolución 5018 de 2019, a los trabajadores, contratistas y proveedores que se ven impactados por esta norma?
6. ¿Las no conformidades asociadas al cumplimiento de Resolución 2550 24-11-2020 Por la cual se prórroga el período de transición señalado en el artículo 3 de la Resolución 5018 de 2019, generan acciones correctivas o de mejora con responsables y fechas definidas?</t>
  </si>
  <si>
    <t>Resololución 10295 del 7-09-2021 Mínimas Establece el esquema de certificación de personas naturales por competencias para inspectores de instalaciones eléctricas, la presente Resolución adiciona, modifica y deroga algunas disposiciones y requisitos del Anexo General del Reglamento Técnico de Instalaciones Eléctricas — RETIE, adoptado mediante Resolución No. 90708 de 2013, y deroga el artículo 1° de la Resolución No. 4 0259 de 2017.</t>
  </si>
  <si>
    <t>1. ¿La empresa ha registrado en la matriz legal las obligaciones derivadas de Resololución 10295 del 7-09-2021 Mínimas Establece el esquema de certificación de personas naturales por competencias para inspectores de instalaciones eléctricas, la presente Resolución adiciona, modifica y deroga algunas disposiciones y requisitos del Anexo General del Reglamento Técnico de Instalaciones Eléctricas — RETIE, adoptado mediante Resolución No. 90708 de 2013, y deroga el artículo 1° de la Resolución No. 4 0259 de 2017. y ha definido su aplicabilidad?
2. ¿Los procedimientos y controles del SG-SST contemplan lo establecido en Resololución 10295 del 7-09-2021 Mínimas Establece el esquema de certificación de personas naturales por competencias para inspectores de instalaciones eléctricas, la presente Resolución adiciona, modifica y deroga algunas disposiciones y requisitos del Anexo General del Reglamento Técnico de Instalaciones Eléctricas — RETIE, adoptado mediante Resolución No. 90708 de 2013, y deroga el artículo 1° de la Resolución No. 4 0259 de 2017. para las actividades y procesos de la organización?
3. ¿Existe evidencia documental (registros, informes, actas, comunicaciones) que demuestre la aplicación de Resololución 10295 del 7-09-2021 Mínimas Establece el esquema de certificación de personas naturales por competencias para inspectores de instalaciones eléctricas, la presente Resolución adiciona, modifica y deroga algunas disposiciones y requisitos del Anexo General del Reglamento Técnico de Instalaciones Eléctricas — RETIE, adoptado mediante Resolución No. 90708 de 2013, y deroga el artículo 1° de la Resolución No. 4 0259 de 2017.?
4. ¿Se ha socializado el contenido de Resololución 10295 del 7-09-2021 Mínimas Establece el esquema de certificación de personas naturales por competencias para inspectores de instalaciones eléctricas, la presente Resolución adiciona, modifica y deroga algunas disposiciones y requisitos del Anexo General del Reglamento Técnico de Instalaciones Eléctricas — RETIE, adoptado mediante Resolución No. 90708 de 2013, y deroga el artículo 1° de la Resolución No. 4 0259 de 2017. con los responsables de cada proceso y con los trabajadores cuando es pertinente?
5. ¿Se revisa periódicamente el cumplimiento de Resololución 10295 del 7-09-2021 Mínimas Establece el esquema de certificación de personas naturales por competencias para inspectores de instalaciones eléctricas, la presente Resolución adiciona, modifica y deroga algunas disposiciones y requisitos del Anexo General del Reglamento Técnico de Instalaciones Eléctricas — RETIE, adoptado mediante Resolución No. 90708 de 2013, y deroga el artículo 1° de la Resolución No. 4 0259 de 2017. y se generan planes de acción cuando se identifican desviaciones?
6. ¿La matriz legal se mantiene actualizada frente a modificaciones, derogatorias o nuevas disposiciones relacionadas con Resololución 10295 del 7-09-2021 Mínimas Establece el esquema de certificación de personas naturales por competencias para inspectores de instalaciones eléctricas, la presente Resolución adiciona, modifica y deroga algunas disposiciones y requisitos del Anexo General del Reglamento Técnico de Instalaciones Eléctricas — RETIE, adoptado mediante Resolución No. 90708 de 2013, y deroga el artículo 1° de la Resolución No. 4 0259 de 2017.?</t>
  </si>
  <si>
    <t>Resolución 40117 -02-04-24-Minminas modificó el Reglamento Técnico-RETIE. Título 4 SG-SST Derogó  la Resolución  90708 del 2013</t>
  </si>
  <si>
    <t>1. ¿La empresa ha identificado los requisitos específicos de Resolución 40117 -02-04-24-Minminas modificó el Reglamento Técnico-RETIE. Título 4 SG-SST Derogó la Resolución 90708 del 2013 que aplican a su actividad económica y tamaño?
2. ¿Se dispone de procedimientos, instructivos o formatos que permitan cumplir con las exigencias técnicas y administrativas de Resolución 40117 -02-04-24-Minminas modificó el Reglamento Técnico-RETIE. Título 4 SG-SST Derogó la Resolución 90708 del 2013?
3. ¿Existen registros (informes, actas, listados, certificados, reportes en plataformas) que evidencien el cumplimiento de Resolución 40117 -02-04-24-Minminas modificó el Reglamento Técnico-RETIE. Título 4 SG-SST Derogó la Resolución 90708 del 2013?
4. ¿Los responsables del SG-SST realizan seguimiento periódico a los ítems de Resolución 40117 -02-04-24-Minminas modificó el Reglamento Técnico-RETIE. Título 4 SG-SST Derogó la Resolución 90708 del 2013 incluidos en la matriz legal y documentan los resultados?
5. ¿Se han comunicado los requisitos de Resolución 40117 -02-04-24-Minminas modificó el Reglamento Técnico-RETIE. Título 4 SG-SST Derogó la Resolución 90708 del 2013 a los trabajadores, contratistas y proveedores que se ven impactados por esta norma?
6. ¿Las no conformidades asociadas al cumplimiento de Resolución 40117 -02-04-24-Minminas modificó el Reglamento Técnico-RETIE. Título 4 SG-SST Derogó la Resolución 90708 del 2013 generan acciones correctivas o de mejora con responsables y fechas definidas?</t>
  </si>
  <si>
    <t>Decreto 539 de 2022 Por el cual se expide el Reglamento de Higiene y Seguridad en las Labores Mineras a Cielo Abierto art 48</t>
  </si>
  <si>
    <t>1. ¿El SG-SST incorpora los requisitos establecidos en Decreto 539 de 2022 Por el cual se expide el Reglamento de Higiene y Seguridad en las Labores Mineras a Cielo Abierto art 48 dentro de sus procedimientos, estándares y controles operativos?
2. ¿Se cuenta con documentación actualizada (procedimientos, instructivos, protocolos) que evidencie la implementación de lo definido en Decreto 539 de 2022 Por el cual se expide el Reglamento de Higiene y Seguridad en las Labores Mineras a Cielo Abierto art 48?
3. ¿Se verifica de manera periódica el cumplimiento de Decreto 539 de 2022 Por el cual se expide el Reglamento de Higiene y Seguridad en las Labores Mineras a Cielo Abierto art 48 en auditorías internas, inspecciones o revisiones de la matriz legal?
4. ¿Los responsables de cada proceso conocen las obligaciones derivadas de Decreto 539 de 2022 Por el cual se expide el Reglamento de Higiene y Seguridad en las Labores Mineras a Cielo Abierto art 48 que les aplican y cuentan con los recursos para cumplirlas?
5. ¿Se conservan registros (informes, actas, listas de verificación, reportes) que demuestren la aplicación práctica de Decreto 539 de 2022 Por el cual se expide el Reglamento de Higiene y Seguridad en las Labores Mineras a Cielo Abierto art 48 en la empresa?
6. ¿Las actualizaciones o derogatorias relacionadas con Decreto 539 de 2022 Por el cual se expide el Reglamento de Higiene y Seguridad en las Labores Mineras a Cielo Abierto art 48 se reflejan oportunamente en la matriz legal y en los documentos del SG-SST?</t>
  </si>
  <si>
    <t>Trabajo en caliente - soldadura</t>
  </si>
  <si>
    <t xml:space="preserve"> Señalización</t>
  </si>
  <si>
    <t>Resolución  2400 del 22-05 de 1979  Art. 202 al 204 Código de colores: Se establecen los códigos de colores para procesos con aparatos, máquinas, equipos, ductos, tuberías y otros, Otras Normas asociadas: Resolución  Ley 769/02 art. 5, 101, 113 y 115.,  D. 1072/15 art. 2.2.4.6.15, 23 y 24, Resolución 624 del 8-04-2025 Minsalud adopta el Manual para la señalización de los ambientes 100% libres de humo de tabaco y aerosoles emitidos por sus sucedáneos e imitadores, Decreto 539 de 2022 Por el cual se expide el Reglamento de Higiene y Seguridad en las Labores Mineras a Cielo Abierto arts 131 al 135</t>
  </si>
  <si>
    <t>1. ¿La empresa ha identificado los requisitos específicos de Resolución 2400 del 22-05 de 1979 Art. 202 al 204 Código de colores: Se establecen los códigos de colores para procesos con aparatos, máquinas, equipos, ductos, tuberías y otros, Otras Normas asociadas: Resolución Ley 769/02 art. 5, 101, 113 y 115., D. 1072/15 art. 2.2.4.6.15, 23 y 24, Resolución 624 del 8-04-2025 Minsalud adopta el Manual para la señalización de los ambientes 100% libres de humo de tabaco y aerosoles emitidos por sus sucedáneos e imitadores, Decreto 539 de 2022 Por el cual se expide el Reglamento de Higiene y Seguridad en las Labores Mineras a Cielo Abierto arts 131 al 135 que aplican a su actividad económica y tamaño?
2. ¿Se dispone de procedimientos, instructivos o formatos que permitan cumplir con las exigencias técnicas y administrativas de Resolución 2400 del 22-05 de 1979 Art. 202 al 204 Código de colores: Se establecen los códigos de colores para procesos con aparatos, máquinas, equipos, ductos, tuberías y otros, Otras Normas asociadas: Resolución Ley 769/02 art. 5, 101, 113 y 115., D. 1072/15 art. 2.2.4.6.15, 23 y 24, Resolución 624 del 8-04-2025 Minsalud adopta el Manual para la señalización de los ambientes 100% libres de humo de tabaco y aerosoles emitidos por sus sucedáneos e imitadores, Decreto 539 de 2022 Por el cual se expide el Reglamento de Higiene y Seguridad en las Labores Mineras a Cielo Abierto arts 131 al 135?
3. ¿Existen registros (informes, actas, listados, certificados, reportes en plataformas) que evidencien el cumplimiento de Resolución 2400 del 22-05 de 1979 Art. 202 al 204 Código de colores: Se establecen los códigos de colores para procesos con aparatos, máquinas, equipos, ductos, tuberías y otros, Otras Normas asociadas: Resolución Ley 769/02 art. 5, 101, 113 y 115., D. 1072/15 art. 2.2.4.6.15, 23 y 24, Resolución 624 del 8-04-2025 Minsalud adopta el Manual para la señalización de los ambientes 100% libres de humo de tabaco y aerosoles emitidos por sus sucedáneos e imitadores, Decreto 539 de 2022 Por el cual se expide el Reglamento de Higiene y Seguridad en las Labores Mineras a Cielo Abierto arts 131 al 135?
4. ¿Los responsables del SG-SST realizan seguimiento periódico a los ítems de Resolución 2400 del 22-05 de 1979 Art. 202 al 204 Código de colores: Se establecen los códigos de colores para procesos con aparatos, máquinas, equipos, ductos, tuberías y otros, Otras Normas asociadas: Resolución Ley 769/02 art. 5, 101, 113 y 115., D. 1072/15 art. 2.2.4.6.15, 23 y 24, Resolución 624 del 8-04-2025 Minsalud adopta el Manual para la señalización de los ambientes 100% libres de humo de tabaco y aerosoles emitidos por sus sucedáneos e imitadores, Decreto 539 de 2022 Por el cual se expide el Reglamento de Higiene y Seguridad en las Labores Mineras a Cielo Abierto arts 131 al 135 incluidos en la matriz legal y documentan los resultados?
5. ¿Se han comunicado los requisitos de Resolución 2400 del 22-05 de 1979 Art. 202 al 204 Código de colores: Se establecen los códigos de colores para procesos con aparatos, máquinas, equipos, ductos, tuberías y otros, Otras Normas asociadas: Resolución Ley 769/02 art. 5, 101, 113 y 115., D. 1072/15 art. 2.2.4.6.15, 23 y 24, Resolución 624 del 8-04-2025 Minsalud adopta el Manual para la señalización de los ambientes 100% libres de humo de tabaco y aerosoles emitidos por sus sucedáneos e imitadores, Decreto 539 de 2022 Por el cual se expide el Reglamento de Higiene y Seguridad en las Labores Mineras a Cielo Abierto arts 131 al 135 a los trabajadores, contratistas y proveedores que se ven impactados por esta norma?
6. ¿Las no conformidades asociadas al cumplimiento de Resolución 2400 del 22-05 de 1979 Art. 202 al 204 Código de colores: Se establecen los códigos de colores para procesos con aparatos, máquinas, equipos, ductos, tuberías y otros, Otras Normas asociadas: Resolución Ley 769/02 art. 5, 101, 113 y 115., D. 1072/15 art. 2.2.4.6.15, 23 y 24, Resolución 624 del 8-04-2025 Minsalud adopta el Manual para la señalización de los ambientes 100% libres de humo de tabaco y aerosoles emitidos por sus sucedáneos e imitadores, Decreto 539 de 2022 Por el cual se expide el Reglamento de Higiene y Seguridad en las Labores Mineras a Cielo Abierto arts 131 al 135 generan acciones correctivas o de mejora con responsables y fechas definidas?</t>
  </si>
  <si>
    <t>Resolución  Ley 769/02 art. 5, 101, 113 y 115</t>
  </si>
  <si>
    <t>1. ¿La empresa ha identificado los requisitos específicos de Resolución Ley 769/02 art. 5, 101, 113 y 115 que aplican a su actividad económica y tamaño?
2. ¿Se dispone de procedimientos, instructivos o formatos que permitan cumplir con las exigencias técnicas y administrativas de Resolución Ley 769/02 art. 5, 101, 113 y 115?
3. ¿Existen registros (informes, actas, listados, certificados, reportes en plataformas) que evidencien el cumplimiento de Resolución Ley 769/02 art. 5, 101, 113 y 115?
4. ¿Los responsables del SG-SST realizan seguimiento periódico a los ítems de Resolución Ley 769/02 art. 5, 101, 113 y 115 incluidos en la matriz legal y documentan los resultados?
5. ¿Se han comunicado los requisitos de Resolución Ley 769/02 art. 5, 101, 113 y 115 a los trabajadores, contratistas y proveedores que se ven impactados por esta norma?
6. ¿Las no conformidades asociadas al cumplimiento de Resolución Ley 769/02 art. 5, 101, 113 y 115 generan acciones correctivas o de mejora con responsables y fechas definidas?</t>
  </si>
  <si>
    <t>Decreto 539 de 2022 Por el cual se expide el Reglamento de Higiene y Seguridad en las Labores Mineras a Cielo Abierto arts 131 al 135</t>
  </si>
  <si>
    <t>1. ¿El SG-SST incorpora los requisitos establecidos en Decreto 539 de 2022 Por el cual se expide el Reglamento de Higiene y Seguridad en las Labores Mineras a Cielo Abierto arts 131 al 135 dentro de sus procedimientos, estándares y controles operativos?
2. ¿Se cuenta con documentación actualizada (procedimientos, instructivos, protocolos) que evidencie la implementación de lo definido en Decreto 539 de 2022 Por el cual se expide el Reglamento de Higiene y Seguridad en las Labores Mineras a Cielo Abierto arts 131 al 135?
3. ¿Se verifica de manera periódica el cumplimiento de Decreto 539 de 2022 Por el cual se expide el Reglamento de Higiene y Seguridad en las Labores Mineras a Cielo Abierto arts 131 al 135 en auditorías internas, inspecciones o revisiones de la matriz legal?
4. ¿Los responsables de cada proceso conocen las obligaciones derivadas de Decreto 539 de 2022 Por el cual se expide el Reglamento de Higiene y Seguridad en las Labores Mineras a Cielo Abierto arts 131 al 135 que les aplican y cuentan con los recursos para cumplirlas?
5. ¿Se conservan registros (informes, actas, listas de verificación, reportes) que demuestren la aplicación práctica de Decreto 539 de 2022 Por el cual se expide el Reglamento de Higiene y Seguridad en las Labores Mineras a Cielo Abierto arts 131 al 135 en la empresa?
6. ¿Las actualizaciones o derogatorias relacionadas con Decreto 539 de 2022 Por el cual se expide el Reglamento de Higiene y Seguridad en las Labores Mineras a Cielo Abierto arts 131 al 135 se reflejan oportunamente en la matriz legal y en los documentos del SG-SST?</t>
  </si>
  <si>
    <t>Resolución 624 del 8-04-2025 Minsalud adopta el Manual para la señalización de los ambientes 100% libres de humo de tabaco y aerosoles emitidos por sus sucedáneos e imitadores, Decreto 539 de 2022 Por el cual se expide el Reglamento de Higiene y Seguridad en las Labores Mineras a Cielo Abierto arts 131 al 135</t>
  </si>
  <si>
    <t>1. ¿La empresa ha identificado los requisitos específicos de Resolución 624 del 8-04-2025 Minsalud adopta el Manual para la señalización de los ambientes 100% libres de humo de tabaco y aerosoles emitidos por sus sucedáneos e imitadores, Decreto 539 de 2022 Por el cual se expide el Reglamento de Higiene y Seguridad en las Labores Mineras a Cielo Abierto arts 131 al 135 que aplican a su actividad económica y tamaño?
2. ¿Se dispone de procedimientos, instructivos o formatos que permitan cumplir con las exigencias técnicas y administrativas de Resolución 624 del 8-04-2025 Minsalud adopta el Manual para la señalización de los ambientes 100% libres de humo de tabaco y aerosoles emitidos por sus sucedáneos e imitadores, Decreto 539 de 2022 Por el cual se expide el Reglamento de Higiene y Seguridad en las Labores Mineras a Cielo Abierto arts 131 al 135?
3. ¿Existen registros (informes, actas, listados, certificados, reportes en plataformas) que evidencien el cumplimiento de Resolución 624 del 8-04-2025 Minsalud adopta el Manual para la señalización de los ambientes 100% libres de humo de tabaco y aerosoles emitidos por sus sucedáneos e imitadores, Decreto 539 de 2022 Por el cual se expide el Reglamento de Higiene y Seguridad en las Labores Mineras a Cielo Abierto arts 131 al 135?
4. ¿Los responsables del SG-SST realizan seguimiento periódico a los ítems de Resolución 624 del 8-04-2025 Minsalud adopta el Manual para la señalización de los ambientes 100% libres de humo de tabaco y aerosoles emitidos por sus sucedáneos e imitadores, Decreto 539 de 2022 Por el cual se expide el Reglamento de Higiene y Seguridad en las Labores Mineras a Cielo Abierto arts 131 al 135 incluidos en la matriz legal y documentan los resultados?
5. ¿Se han comunicado los requisitos de Resolución 624 del 8-04-2025 Minsalud adopta el Manual para la señalización de los ambientes 100% libres de humo de tabaco y aerosoles emitidos por sus sucedáneos e imitadores, Decreto 539 de 2022 Por el cual se expide el Reglamento de Higiene y Seguridad en las Labores Mineras a Cielo Abierto arts 131 al 135 a los trabajadores, contratistas y proveedores que se ven impactados por esta norma?
6. ¿Las no conformidades asociadas al cumplimiento de Resolución 624 del 8-04-2025 Minsalud adopta el Manual para la señalización de los ambientes 100% libres de humo de tabaco y aerosoles emitidos por sus sucedáneos e imitadores, Decreto 539 de 2022 Por el cual se expide el Reglamento de Higiene y Seguridad en las Labores Mineras a Cielo Abierto arts 131 al 135 generan acciones correctivas o de mejora con responsables y fechas definidas?</t>
  </si>
  <si>
    <t>Espacios.  confinados</t>
  </si>
  <si>
    <t>Resolución 0491 del 24-02-2020 Requisitos mínimos de seguridad para el  desarrollo de trabajo en espacios confinados, art 9, 10, 12 responsabilidades de los empleadores o contratantes.</t>
  </si>
  <si>
    <t>1. ¿La empresa ha identificado los requisitos específicos de Resolución 0491 del 24-02-2020 Requisitos mínimos de seguridad para el desarrollo de trabajo en espacios confinados, art 9, 10, 12 responsabilidades de los empleadores o contratantes. que aplican a su actividad económica y tamaño?
2. ¿Se dispone de procedimientos, instructivos o formatos que permitan cumplir con las exigencias técnicas y administrativas de Resolución 0491 del 24-02-2020 Requisitos mínimos de seguridad para el desarrollo de trabajo en espacios confinados, art 9, 10, 12 responsabilidades de los empleadores o contratantes.?
3. ¿Existen registros (informes, actas, listados, certificados, reportes en plataformas) que evidencien el cumplimiento de Resolución 0491 del 24-02-2020 Requisitos mínimos de seguridad para el desarrollo de trabajo en espacios confinados, art 9, 10, 12 responsabilidades de los empleadores o contratantes.?
4. ¿Los responsables del SG-SST realizan seguimiento periódico a los ítems de Resolución 0491 del 24-02-2020 Requisitos mínimos de seguridad para el desarrollo de trabajo en espacios confinados, art 9, 10, 12 responsabilidades de los empleadores o contratantes. incluidos en la matriz legal y documentan los resultados?
5. ¿Se han comunicado los requisitos de Resolución 0491 del 24-02-2020 Requisitos mínimos de seguridad para el desarrollo de trabajo en espacios confinados, art 9, 10, 12 responsabilidades de los empleadores o contratantes. a los trabajadores, contratistas y proveedores que se ven impactados por esta norma?
6. ¿Las no conformidades asociadas al cumplimiento de Resolución 0491 del 24-02-2020 Requisitos mínimos de seguridad para el desarrollo de trabajo en espacios confinados, art 9, 10, 12 responsabilidades de los empleadores o contratantes. generan acciones correctivas o de mejora con responsables y fechas definidas?</t>
  </si>
  <si>
    <t>Resolución 2605 del 30-11-2020 Por la cual se modifica la Resolución 491</t>
  </si>
  <si>
    <t>1. ¿La empresa ha identificado los requisitos específicos de Resolución 2605 del 30-11-2020 Por la cual se modifica la Resolución 491 que aplican a su actividad económica y tamaño?
2. ¿Se dispone de procedimientos, instructivos o formatos que permitan cumplir con las exigencias técnicas y administrativas de Resolución 2605 del 30-11-2020 Por la cual se modifica la Resolución 491?
3. ¿Existen registros (informes, actas, listados, certificados, reportes en plataformas) que evidencien el cumplimiento de Resolución 2605 del 30-11-2020 Por la cual se modifica la Resolución 491?
4. ¿Los responsables del SG-SST realizan seguimiento periódico a los ítems de Resolución 2605 del 30-11-2020 Por la cual se modifica la Resolución 491 incluidos en la matriz legal y documentan los resultados?
5. ¿Se han comunicado los requisitos de Resolución 2605 del 30-11-2020 Por la cual se modifica la Resolución 491 a los trabajadores, contratistas y proveedores que se ven impactados por esta norma?
6. ¿Las no conformidades asociadas al cumplimiento de Resolución 2605 del 30-11-2020 Por la cual se modifica la Resolución 491 generan acciones correctivas o de mejora con responsables y fechas definidas?</t>
  </si>
  <si>
    <t>Izaje de Cargas</t>
  </si>
  <si>
    <t>Resolución  2400 del 22-05 de 1979  398 al 497 del manejo y transporte mecánico de materiales, Grúas, Malacates, transportadores de banda, diferenciales</t>
  </si>
  <si>
    <t>1. ¿La empresa ha identificado los requisitos específicos de Resolución 2400 del 22-05 de 1979 398 al 497 del manejo y transporte mecánico de materiales, Grúas, Malacates, transportadores de banda, diferenciales que aplican a su actividad económica y tamaño?
2. ¿Se dispone de procedimientos, instructivos o formatos que permitan cumplir con las exigencias técnicas y administrativas de Resolución 2400 del 22-05 de 1979 398 al 497 del manejo y transporte mecánico de materiales, Grúas, Malacates, transportadores de banda, diferenciales?
3. ¿Existen registros (informes, actas, listados, certificados, reportes en plataformas) que evidencien el cumplimiento de Resolución 2400 del 22-05 de 1979 398 al 497 del manejo y transporte mecánico de materiales, Grúas, Malacates, transportadores de banda, diferenciales?
4. ¿Los responsables del SG-SST realizan seguimiento periódico a los ítems de Resolución 2400 del 22-05 de 1979 398 al 497 del manejo y transporte mecánico de materiales, Grúas, Malacates, transportadores de banda, diferenciales incluidos en la matriz legal y documentan los resultados?
5. ¿Se han comunicado los requisitos de Resolución 2400 del 22-05 de 1979 398 al 497 del manejo y transporte mecánico de materiales, Grúas, Malacates, transportadores de banda, diferenciales a los trabajadores, contratistas y proveedores que se ven impactados por esta norma?
6. ¿Las no conformidades asociadas al cumplimiento de Resolución 2400 del 22-05 de 1979 398 al 497 del manejo y transporte mecánico de materiales, Grúas, Malacates, transportadores de banda, diferenciales generan acciones correctivas o de mejora con responsables y fechas definidas?</t>
  </si>
  <si>
    <t xml:space="preserve">Trabajo en las Alturas, </t>
  </si>
  <si>
    <t>Resolución 4272 del 21-12-2021 Min trabajo Del Art. 1 al 68 , Esta norma establece los requisitos mínimos de seguridad para el desarrollo de trabajo en alturas, Estar norma deroga las siguientes: Resolución 1409 de 2012, Resolución 1903 de 2013, Resolución 3368 de 2014, Resolución 1178 de 2017 y Resolución 1248 de 2020. entrará a regir a partir del mes de agosto del 2022:  Otras normas asociadas al trabajo en las alturas:</t>
  </si>
  <si>
    <t>1. ¿La empresa ha identificado los requisitos específicos de Resolución 4272 del 21-12-2021 Min trabajo Del Art. 1 al 68 , Esta norma establece los requisitos mínimos de seguridad para el desarrollo de trabajo en alturas, Estar norma deroga las siguientes: Resolución 1409 de 2012, Resolución 1903 de 2013, Resolución 3368 de 2014, Resolución 1178 de 2017 y Resolución 1248 de 2020. entrará a regir a partir del mes de agosto del 2022: Otras normas asociadas al trabajo en las alturas: que aplican a su actividad económica y tamaño?
2. ¿Se dispone de procedimientos, instructivos o formatos que permitan cumplir con las exigencias técnicas y administrativas de Resolución 4272 del 21-12-2021 Min trabajo Del Art. 1 al 68 , Esta norma establece los requisitos mínimos de seguridad para el desarrollo de trabajo en alturas, Estar norma deroga las siguientes: Resolución 1409 de 2012, Resolución 1903 de 2013, Resolución 3368 de 2014, Resolución 1178 de 2017 y Resolución 1248 de 2020. entrará a regir a partir del mes de agosto del 2022: Otras normas asociadas al trabajo en las alturas:?
3. ¿Existen registros (informes, actas, listados, certificados, reportes en plataformas) que evidencien el cumplimiento de Resolución 4272 del 21-12-2021 Min trabajo Del Art. 1 al 68 , Esta norma establece los requisitos mínimos de seguridad para el desarrollo de trabajo en alturas, Estar norma deroga las siguientes: Resolución 1409 de 2012, Resolución 1903 de 2013, Resolución 3368 de 2014, Resolución 1178 de 2017 y Resolución 1248 de 2020. entrará a regir a partir del mes de agosto del 2022: Otras normas asociadas al trabajo en las alturas:?
4. ¿Los responsables del SG-SST realizan seguimiento periódico a los ítems de Resolución 4272 del 21-12-2021 Min trabajo Del Art. 1 al 68 , Esta norma establece los requisitos mínimos de seguridad para el desarrollo de trabajo en alturas, Estar norma deroga las siguientes: Resolución 1409 de 2012, Resolución 1903 de 2013, Resolución 3368 de 2014, Resolución 1178 de 2017 y Resolución 1248 de 2020. entrará a regir a partir del mes de agosto del 2022: Otras normas asociadas al trabajo en las alturas: incluidos en la matriz legal y documentan los resultados?
5. ¿Se han comunicado los requisitos de Resolución 4272 del 21-12-2021 Min trabajo Del Art. 1 al 68 , Esta norma establece los requisitos mínimos de seguridad para el desarrollo de trabajo en alturas, Estar norma deroga las siguientes: Resolución 1409 de 2012, Resolución 1903 de 2013, Resolución 3368 de 2014, Resolución 1178 de 2017 y Resolución 1248 de 2020. entrará a regir a partir del mes de agosto del 2022: Otras normas asociadas al trabajo en las alturas: a los trabajadores, contratistas y proveedores que se ven impactados por esta norma?
6. ¿Las no conformidades asociadas al cumplimiento de Resolución 4272 del 21-12-2021 Min trabajo Del Art. 1 al 68 , Esta norma establece los requisitos mínimos de seguridad para el desarrollo de trabajo en alturas, Estar norma deroga las siguientes: Resolución 1409 de 2012, Resolución 1903 de 2013, Resolución 3368 de 2014, Resolución 1178 de 2017 y Resolución 1248 de 2020. entrará a regir a partir del mes de agosto del 2022: Otras normas asociadas al trabajo en las alturas: generan acciones correctivas o de mejora con responsables y fechas definidas?</t>
  </si>
  <si>
    <t>Resolución 2400/79 (art 628 al 655 Andamios y Escaleras)</t>
  </si>
  <si>
    <t>1. ¿La empresa ha identificado los requisitos específicos de Resolución 2400/79 (art 628 al 655 Andamios y Escaleras) que aplican a su actividad económica y tamaño?
2. ¿Se dispone de procedimientos, instructivos o formatos que permitan cumplir con las exigencias técnicas y administrativas de Resolución 2400/79 (art 628 al 655 Andamios y Escaleras)?
3. ¿Existen registros (informes, actas, listados, certificados, reportes en plataformas) que evidencien el cumplimiento de Resolución 2400/79 (art 628 al 655 Andamios y Escaleras)?
4. ¿Los responsables del SG-SST realizan seguimiento periódico a los ítems de Resolución 2400/79 (art 628 al 655 Andamios y Escaleras) incluidos en la matriz legal y documentan los resultados?
5. ¿Se han comunicado los requisitos de Resolución 2400/79 (art 628 al 655 Andamios y Escaleras) a los trabajadores, contratistas y proveedores que se ven impactados por esta norma?
6. ¿Las no conformidades asociadas al cumplimiento de Resolución 2400/79 (art 628 al 655 Andamios y Escaleras) generan acciones correctivas o de mejora con responsables y fechas definidas?</t>
  </si>
  <si>
    <t>Resolución 736/09</t>
  </si>
  <si>
    <t>1. ¿La empresa ha identificado los requisitos específicos de Resolución 736/09 que aplican a su actividad económica y tamaño?
2. ¿Se dispone de procedimientos, instructivos o formatos que permitan cumplir con las exigencias técnicas y administrativas de Resolución 736/09?
3. ¿Existen registros (informes, actas, listados, certificados, reportes en plataformas) que evidencien el cumplimiento de Resolución 736/09?
4. ¿Los responsables del SG-SST realizan seguimiento periódico a los ítems de Resolución 736/09 incluidos en la matriz legal y documentan los resultados?
5. ¿Se han comunicado los requisitos de Resolución 736/09 a los trabajadores, contratistas y proveedores que se ven impactados por esta norma?
6. ¿Las no conformidades asociadas al cumplimiento de Resolución 736/09 generan acciones correctivas o de mejora con responsables y fechas definidas?</t>
  </si>
  <si>
    <t>Resolución 2291/2010</t>
  </si>
  <si>
    <t>1. ¿La empresa ha identificado los requisitos específicos de Resolución 2291/2010 que aplican a su actividad económica y tamaño?
2. ¿Se dispone de procedimientos, instructivos o formatos que permitan cumplir con las exigencias técnicas y administrativas de Resolución 2291/2010?
3. ¿Existen registros (informes, actas, listados, certificados, reportes en plataformas) que evidencien el cumplimiento de Resolución 2291/2010?
4. ¿Los responsables del SG-SST realizan seguimiento periódico a los ítems de Resolución 2291/2010 incluidos en la matriz legal y documentan los resultados?
5. ¿Se han comunicado los requisitos de Resolución 2291/2010 a los trabajadores, contratistas y proveedores que se ven impactados por esta norma?
6. ¿Las no conformidades asociadas al cumplimiento de Resolución 2291/2010 generan acciones correctivas o de mejora con responsables y fechas definidas?</t>
  </si>
  <si>
    <t>Circular 042 de 2014 certificado de competencias laborales para entrenadores o instructores.</t>
  </si>
  <si>
    <t>1. ¿La empresa conoce y ha analizado los lineamientos impartidos en Circular 042 de 2014 certificado de competencias laborales para entrenadores o instructores. frente a su actividad y condiciones de trabajo?
2. ¿Se han incorporado en los procedimientos internos las orientaciones y criterios definidos en Circular 042 de 2014 certificado de competencias laborales para entrenadores o instructores.?
3. ¿Existe evidencia de comunicación interna (correos, circulares, actas) sobre el contenido de Circular 042 de 2014 certificado de competencias laborales para entrenadores o instructores. a las áreas responsables?
4. ¿Se verifica en auditorías o revisiones internas el cumplimiento de las instrucciones dadas en Circular 042 de 2014 certificado de competencias laborales para entrenadores o instructores.?
5. ¿Los cambios o nuevas circulares que complementan o sustituyen a Circular 042 de 2014 certificado de competencias laborales para entrenadores o instructores. se actualizan oportunamente en la matriz legal?
6. ¿Se conservan registros de las decisiones tomadas a partir de Circular 042 de 2014 certificado de competencias laborales para entrenadores o instructores. en relación con el SG-SST?</t>
  </si>
  <si>
    <t>Circular 36 del 28-07-2022 Min trabajo capacitación y reentrenamiento en Alturas</t>
  </si>
  <si>
    <t>1. ¿La empresa conoce y ha analizado los lineamientos impartidos en Circular 36 del 28-07-2022 Min trabajo capacitación y reentrenamiento en Alturas frente a su actividad y condiciones de trabajo?
2. ¿Se han incorporado en los procedimientos internos las orientaciones y criterios definidos en Circular 36 del 28-07-2022 Min trabajo capacitación y reentrenamiento en Alturas?
3. ¿Existe evidencia de comunicación interna (correos, circulares, actas) sobre el contenido de Circular 36 del 28-07-2022 Min trabajo capacitación y reentrenamiento en Alturas a las áreas responsables?
4. ¿Se verifica en auditorías o revisiones internas el cumplimiento de las instrucciones dadas en Circular 36 del 28-07-2022 Min trabajo capacitación y reentrenamiento en Alturas?
5. ¿Los cambios o nuevas circulares que complementan o sustituyen a Circular 36 del 28-07-2022 Min trabajo capacitación y reentrenamiento en Alturas se actualizan oportunamente en la matriz legal?
6. ¿Se conservan registros de las decisiones tomadas a partir de Circular 36 del 28-07-2022 Min trabajo capacitación y reentrenamiento en Alturas en relación con el SG-SST?</t>
  </si>
  <si>
    <t>Circular 70/09</t>
  </si>
  <si>
    <t>1. ¿La empresa conoce y ha analizado los lineamientos impartidos en Circular 70/09 frente a su actividad y condiciones de trabajo?
2. ¿Se han incorporado en los procedimientos internos las orientaciones y criterios definidos en Circular 70/09?
3. ¿Existe evidencia de comunicación interna (correos, circulares, actas) sobre el contenido de Circular 70/09 a las áreas responsables?
4. ¿Se verifica en auditorías o revisiones internas el cumplimiento de las instrucciones dadas en Circular 70/09?
5. ¿Los cambios o nuevas circulares que complementan o sustituyen a Circular 70/09 se actualizan oportunamente en la matriz legal?
6. ¿Se conservan registros de las decisiones tomadas a partir de Circular 70/09 en relación con el SG-SST?</t>
  </si>
  <si>
    <t>Siniestralidad vial 
PESV</t>
  </si>
  <si>
    <t>Ley 1503 del 29-12 de 2011 congreso de la república art 12, diseñar el PESV</t>
  </si>
  <si>
    <t>1. ¿La empresa ha identificado y documentado en la matriz legal las obligaciones derivadas de Ley 1503 del 29-12 de 2011 congreso de la república art 12, diseñar el PESV y su relación con el SG-SST?
2. ¿Las políticas, procedimientos y programas del SG-SST incorporan de forma explícita los lineamientos establecidos en Ley 1503 del 29-12 de 2011 congreso de la república art 12, diseñar el PESV?
3. ¿Existe evidencia documental (actas, comunicaciones, registros, contratos, entre otros) que demuestre la aplicación de Ley 1503 del 29-12 de 2011 congreso de la república art 12, diseñar el PESV en la organización?
4. ¿Se ha socializado con trabajadores, líderes y responsables del SG-SST el contenido y alcance de Ley 1503 del 29-12 de 2011 congreso de la república art 12, diseñar el PESV y sus implicaciones en seguridad y salud en el trabajo?
5. ¿Se realiza seguimiento periódico al cumplimiento de Ley 1503 del 29-12 de 2011 congreso de la república art 12, diseñar el PESV, dejando soportes de las revisiones y acciones de mejora cuando se identifican brechas?
6. ¿Los cambios o reformas a Ley 1503 del 29-12 de 2011 congreso de la república art 12, diseñar el PESV se registran oportunamente en la matriz legal y se comunican a los procesos impactados?</t>
  </si>
  <si>
    <t>Ley 1383/2010 que modificó  la ley 769 de 2002 Código nacional de tránsito, art.4,5,11,13,15,19,21</t>
  </si>
  <si>
    <t>1. ¿La empresa ha identificado y documentado en la matriz legal las obligaciones derivadas de Ley 1383/2010 que modificó la ley 769 de 2002 Código nacional de tránsito, art.4,5,11,13,15,19,21 y su relación con el SG-SST?
2. ¿Las políticas, procedimientos y programas del SG-SST incorporan de forma explícita los lineamientos establecidos en Ley 1383/2010 que modificó la ley 769 de 2002 Código nacional de tránsito, art.4,5,11,13,15,19,21?
3. ¿Existe evidencia documental (actas, comunicaciones, registros, contratos, entre otros) que demuestre la aplicación de Ley 1383/2010 que modificó la ley 769 de 2002 Código nacional de tránsito, art.4,5,11,13,15,19,21 en la organización?
4. ¿Se ha socializado con trabajadores, líderes y responsables del SG-SST el contenido y alcance de Ley 1383/2010 que modificó la ley 769 de 2002 Código nacional de tránsito, art.4,5,11,13,15,19,21 y sus implicaciones en seguridad y salud en el trabajo?
5. ¿Se realiza seguimiento periódico al cumplimiento de Ley 1383/2010 que modificó la ley 769 de 2002 Código nacional de tránsito, art.4,5,11,13,15,19,21, dejando soportes de las revisiones y acciones de mejora cuando se identifican brechas?
6. ¿Los cambios o reformas a Ley 1383/2010 que modificó la ley 769 de 2002 Código nacional de tránsito, art.4,5,11,13,15,19,21 se registran oportunamente en la matriz legal y se comunican a los procesos impactados?</t>
  </si>
  <si>
    <t>D 2851/2013 incluido en el 2.3.2-3.1 del Decreto 1079/15 modificó art 10 de la ley 1503</t>
  </si>
  <si>
    <t>1. ¿La empresa ha registrado en la matriz legal las obligaciones derivadas de D 2851/2013 incluido en el 2.3.2-3.1 del Decreto 1079/15 modificó art 10 de la ley 1503 y ha definido su aplicabilidad?
2. ¿Los procedimientos y controles del SG-SST contemplan lo establecido en D 2851/2013 incluido en el 2.3.2-3.1 del Decreto 1079/15 modificó art 10 de la ley 1503 para las actividades y procesos de la organización?
3. ¿Existe evidencia documental (registros, informes, actas, comunicaciones) que demuestre la aplicación de D 2851/2013 incluido en el 2.3.2-3.1 del Decreto 1079/15 modificó art 10 de la ley 1503?
4. ¿Se ha socializado el contenido de D 2851/2013 incluido en el 2.3.2-3.1 del Decreto 1079/15 modificó art 10 de la ley 1503 con los responsables de cada proceso y con los trabajadores cuando es pertinente?
5. ¿Se revisa periódicamente el cumplimiento de D 2851/2013 incluido en el 2.3.2-3.1 del Decreto 1079/15 modificó art 10 de la ley 1503 y se generan planes de acción cuando se identifican desviaciones?
6. ¿La matriz legal se mantiene actualizada frente a modificaciones, derogatorias o nuevas disposiciones relacionadas con D 2851/2013 incluido en el 2.3.2-3.1 del Decreto 1079/15 modificó art 10 de la ley 1503?</t>
  </si>
  <si>
    <t>Ley 1696/13 Disp. Penales y administrativas en la conducción, bajo influencias alcohol y otras sustancias</t>
  </si>
  <si>
    <t>1. ¿La empresa ha identificado y documentado en la matriz legal las obligaciones derivadas de Ley 1696/13 Disp. Penales y administrativas en la conducción, bajo influencias alcohol y otras sustancias y su relación con el SG-SST?
2. ¿Las políticas, procedimientos y programas del SG-SST incorporan de forma explícita los lineamientos establecidos en Ley 1696/13 Disp. Penales y administrativas en la conducción, bajo influencias alcohol y otras sustancias?
3. ¿Existe evidencia documental (actas, comunicaciones, registros, contratos, entre otros) que demuestre la aplicación de Ley 1696/13 Disp. Penales y administrativas en la conducción, bajo influencias alcohol y otras sustancias en la organización?
4. ¿Se ha socializado con trabajadores, líderes y responsables del SG-SST el contenido y alcance de Ley 1696/13 Disp. Penales y administrativas en la conducción, bajo influencias alcohol y otras sustancias y sus implicaciones en seguridad y salud en el trabajo?
5. ¿Se realiza seguimiento periódico al cumplimiento de Ley 1696/13 Disp. Penales y administrativas en la conducción, bajo influencias alcohol y otras sustancias, dejando soportes de las revisiones y acciones de mejora cuando se identifican brechas?
6. ¿Los cambios o reformas a Ley 1696/13 Disp. Penales y administrativas en la conducción, bajo influencias alcohol y otras sustancias se registran oportunamente en la matriz legal y se comunican a los procesos impactados?</t>
  </si>
  <si>
    <t>R. 315/13 seguridad en el transporte</t>
  </si>
  <si>
    <t>1. ¿La empresa ha registrado en la matriz legal las obligaciones derivadas de R. 315/13 seguridad en el transporte y ha definido su aplicabilidad?
2. ¿Los procedimientos y controles del SG-SST contemplan lo establecido en R. 315/13 seguridad en el transporte para las actividades y procesos de la organización?
3. ¿Existe evidencia documental (registros, informes, actas, comunicaciones) que demuestre la aplicación de R. 315/13 seguridad en el transporte?
4. ¿Se ha socializado el contenido de R. 315/13 seguridad en el transporte con los responsables de cada proceso y con los trabajadores cuando es pertinente?
5. ¿Se revisa periódicamente el cumplimiento de R. 315/13 seguridad en el transporte y se generan planes de acción cuando se identifican desviaciones?
6. ¿La matriz legal se mantiene actualizada frente a modificaciones, derogatorias o nuevas disposiciones relacionadas con R. 315/13 seguridad en el transporte?</t>
  </si>
  <si>
    <t>R.2273 6-08-2014 Plan Nal de seg vial</t>
  </si>
  <si>
    <t>1. ¿La empresa ha registrado en la matriz legal las obligaciones derivadas de R.2273 6-08-2014 Plan Nal de seg vial y ha definido su aplicabilidad?
2. ¿Los procedimientos y controles del SG-SST contemplan lo establecido en R.2273 6-08-2014 Plan Nal de seg vial para las actividades y procesos de la organización?
3. ¿Existe evidencia documental (registros, informes, actas, comunicaciones) que demuestre la aplicación de R.2273 6-08-2014 Plan Nal de seg vial?
4. ¿Se ha socializado el contenido de R.2273 6-08-2014 Plan Nal de seg vial con los responsables de cada proceso y con los trabajadores cuando es pertinente?
5. ¿Se revisa periódicamente el cumplimiento de R.2273 6-08-2014 Plan Nal de seg vial y se generan planes de acción cuando se identifican desviaciones?
6. ¿La matriz legal se mantiene actualizada frente a modificaciones, derogatorias o nuevas disposiciones relacionadas con R.2273 6-08-2014 Plan Nal de seg vial?</t>
  </si>
  <si>
    <t>Decreto 1906/2015 el cual amplía el plazo para la presentación de los PESV.</t>
  </si>
  <si>
    <t>1. ¿El SG-SST incorpora los requisitos establecidos en Decreto 1906/2015 el cual amplía el plazo para la presentación de los PESV. dentro de sus procedimientos, estándares y controles operativos?
2. ¿Se cuenta con documentación actualizada (procedimientos, instructivos, protocolos) que evidencie la implementación de lo definido en Decreto 1906/2015 el cual amplía el plazo para la presentación de los PESV.?
3. ¿Se verifica de manera periódica el cumplimiento de Decreto 1906/2015 el cual amplía el plazo para la presentación de los PESV. en auditorías internas, inspecciones o revisiones de la matriz legal?
4. ¿Los responsables de cada proceso conocen las obligaciones derivadas de Decreto 1906/2015 el cual amplía el plazo para la presentación de los PESV. que les aplican y cuentan con los recursos para cumplirlas?
5. ¿Se conservan registros (informes, actas, listas de verificación, reportes) que demuestren la aplicación práctica de Decreto 1906/2015 el cual amplía el plazo para la presentación de los PESV. en la empresa?
6. ¿Las actualizaciones o derogatorias relacionadas con Decreto 1906/2015 el cual amplía el plazo para la presentación de los PESV. se reflejan oportunamente en la matriz legal y en los documentos del SG-SST?</t>
  </si>
  <si>
    <t>D. 1310/2016 Nuevo plazo Dic 2016, R. 1379 de 2017​ Planes de MES área metropolitana, DUST 1079/15, D. 1072/15 art. 2.2.4.6.15, 23 y 24 modificado por art 1 D.1252/2021</t>
  </si>
  <si>
    <t>1. ¿El SG-SST incorpora los requisitos establecidos en D. 1310/2016 Nuevo plazo Dic 2016, R. 1379 de 2017​ Planes de MES área metropolitana, DUST 1079/15, D. 1072/15 art. 2.2.4.6.15, 23 y 24 modificado por art 1 D.1252/2021 dentro de sus procedimientos, estándares y controles operativos?
2. ¿Se cuenta con documentación actualizada (procedimientos, instructivos, protocolos) que evidencie la implementación de lo definido en D. 1310/2016 Nuevo plazo Dic 2016, R. 1379 de 2017​ Planes de MES área metropolitana, DUST 1079/15, D. 1072/15 art. 2.2.4.6.15, 23 y 24 modificado por art 1 D.1252/2021?
3. ¿Se verifica de manera periódica el cumplimiento de D. 1310/2016 Nuevo plazo Dic 2016, R. 1379 de 2017​ Planes de MES área metropolitana, DUST 1079/15, D. 1072/15 art. 2.2.4.6.15, 23 y 24 modificado por art 1 D.1252/2021 en auditorías internas, inspecciones o revisiones de la matriz legal?
4. ¿Los responsables de cada proceso conocen las obligaciones derivadas de D. 1310/2016 Nuevo plazo Dic 2016, R. 1379 de 2017​ Planes de MES área metropolitana, DUST 1079/15, D. 1072/15 art. 2.2.4.6.15, 23 y 24 modificado por art 1 D.1252/2021 que les aplican y cuentan con los recursos para cumplirlas?
5. ¿Se conservan registros (informes, actas, listas de verificación, reportes) que demuestren la aplicación práctica de D. 1310/2016 Nuevo plazo Dic 2016, R. 1379 de 2017​ Planes de MES área metropolitana, DUST 1079/15, D. 1072/15 art. 2.2.4.6.15, 23 y 24 modificado por art 1 D.1252/2021 en la empresa?
6. ¿Las actualizaciones o derogatorias relacionadas con D. 1310/2016 Nuevo plazo Dic 2016, R. 1379 de 2017​ Planes de MES área metropolitana, DUST 1079/15, D. 1072/15 art. 2.2.4.6.15, 23 y 24 modificado por art 1 D.1252/2021 se reflejan oportunamente en la matriz legal y en los documentos del SG-SST?</t>
  </si>
  <si>
    <t>R. 1379 de 2017​ Planes de MES área metropolitana, DUST 1079/15, D. 1072/15 art. 2.2.4.6.15, 23 y 24 modificado por art 1 D.1252/2021</t>
  </si>
  <si>
    <t>1. ¿La empresa ha registrado en la matriz legal las obligaciones derivadas de R. 1379 de 2017​ Planes de MES área metropolitana, DUST 1079/15, D. 1072/15 art. 2.2.4.6.15, 23 y 24 modificado por art 1 D.1252/2021 y ha definido su aplicabilidad?
2. ¿Los procedimientos y controles del SG-SST contemplan lo establecido en R. 1379 de 2017​ Planes de MES área metropolitana, DUST 1079/15, D. 1072/15 art. 2.2.4.6.15, 23 y 24 modificado por art 1 D.1252/2021 para las actividades y procesos de la organización?
3. ¿Existe evidencia documental (registros, informes, actas, comunicaciones) que demuestre la aplicación de R. 1379 de 2017​ Planes de MES área metropolitana, DUST 1079/15, D. 1072/15 art. 2.2.4.6.15, 23 y 24 modificado por art 1 D.1252/2021?
4. ¿Se ha socializado el contenido de R. 1379 de 2017​ Planes de MES área metropolitana, DUST 1079/15, D. 1072/15 art. 2.2.4.6.15, 23 y 24 modificado por art 1 D.1252/2021 con los responsables de cada proceso y con los trabajadores cuando es pertinente?
5. ¿Se revisa periódicamente el cumplimiento de R. 1379 de 2017​ Planes de MES área metropolitana, DUST 1079/15, D. 1072/15 art. 2.2.4.6.15, 23 y 24 modificado por art 1 D.1252/2021 y se generan planes de acción cuando se identifican desviaciones?
6. ¿La matriz legal se mantiene actualizada frente a modificaciones, derogatorias o nuevas disposiciones relacionadas con R. 1379 de 2017​ Planes de MES área metropolitana, DUST 1079/15, D. 1072/15 art. 2.2.4.6.15, 23 y 24 modificado por art 1 D.1252/2021?</t>
  </si>
  <si>
    <t>DUST 1079/15</t>
  </si>
  <si>
    <t>1. ¿La empresa ha registrado en la matriz legal las obligaciones derivadas de DUST 1079/15 y ha definido su aplicabilidad?
2. ¿Los procedimientos y controles del SG-SST contemplan lo establecido en DUST 1079/15 para las actividades y procesos de la organización?
3. ¿Existe evidencia documental (registros, informes, actas, comunicaciones) que demuestre la aplicación de DUST 1079/15?
4. ¿Se ha socializado el contenido de DUST 1079/15 con los responsables de cada proceso y con los trabajadores cuando es pertinente?
5. ¿Se revisa periódicamente el cumplimiento de DUST 1079/15 y se generan planes de acción cuando se identifican desviaciones?
6. ¿La matriz legal se mantiene actualizada frente a modificaciones, derogatorias o nuevas disposiciones relacionadas con DUST 1079/15?</t>
  </si>
  <si>
    <t>D. 1072/15 art. 2.2.4.6.15, 23 y 24 modificado por art 1 D.1252/2021</t>
  </si>
  <si>
    <t>1. ¿El SG-SST incorpora los requisitos establecidos en D. 1072/15 art. 2.2.4.6.15, 23 y 24 modificado por art 1 D.1252/2021 dentro de sus procedimientos, estándares y controles operativos?
2. ¿Se cuenta con documentación actualizada (procedimientos, instructivos, protocolos) que evidencie la implementación de lo definido en D. 1072/15 art. 2.2.4.6.15, 23 y 24 modificado por art 1 D.1252/2021?
3. ¿Se verifica de manera periódica el cumplimiento de D. 1072/15 art. 2.2.4.6.15, 23 y 24 modificado por art 1 D.1252/2021 en auditorías internas, inspecciones o revisiones de la matriz legal?
4. ¿Los responsables de cada proceso conocen las obligaciones derivadas de D. 1072/15 art. 2.2.4.6.15, 23 y 24 modificado por art 1 D.1252/2021 que les aplican y cuentan con los recursos para cumplirlas?
5. ¿Se conservan registros (informes, actas, listas de verificación, reportes) que demuestren la aplicación práctica de D. 1072/15 art. 2.2.4.6.15, 23 y 24 modificado por art 1 D.1252/2021 en la empresa?
6. ¿Las actualizaciones o derogatorias relacionadas con D. 1072/15 art. 2.2.4.6.15, 23 y 24 modificado por art 1 D.1252/2021 se reflejan oportunamente en la matriz legal y en los documentos del SG-SST?</t>
  </si>
  <si>
    <t xml:space="preserve">Decreto 1906/2015 el cual amplía el plazo para la presentación de los PESV. </t>
  </si>
  <si>
    <t>D. 1310/2016 Nuevo plazo Dic 2016</t>
  </si>
  <si>
    <t>1. ¿El SG-SST incorpora los requisitos establecidos en D. 1310/2016 Nuevo plazo Dic 2016 dentro de sus procedimientos, estándares y controles operativos?
2. ¿Se cuenta con documentación actualizada (procedimientos, instructivos, protocolos) que evidencie la implementación de lo definido en D. 1310/2016 Nuevo plazo Dic 2016?
3. ¿Se verifica de manera periódica el cumplimiento de D. 1310/2016 Nuevo plazo Dic 2016 en auditorías internas, inspecciones o revisiones de la matriz legal?
4. ¿Los responsables de cada proceso conocen las obligaciones derivadas de D. 1310/2016 Nuevo plazo Dic 2016 que les aplican y cuentan con los recursos para cumplirlas?
5. ¿Se conservan registros (informes, actas, listas de verificación, reportes) que demuestren la aplicación práctica de D. 1310/2016 Nuevo plazo Dic 2016 en la empresa?
6. ¿Las actualizaciones o derogatorias relacionadas con D. 1310/2016 Nuevo plazo Dic 2016 se reflejan oportunamente en la matriz legal y en los documentos del SG-SST?</t>
  </si>
  <si>
    <t>R. 1379 de 2017​ Planes de MES área metropolitana</t>
  </si>
  <si>
    <t>1. ¿La empresa ha registrado en la matriz legal las obligaciones derivadas de R. 1379 de 2017​ Planes de MES área metropolitana y ha definido su aplicabilidad?
2. ¿Los procedimientos y controles del SG-SST contemplan lo establecido en R. 1379 de 2017​ Planes de MES área metropolitana para las actividades y procesos de la organización?
3. ¿Existe evidencia documental (registros, informes, actas, comunicaciones) que demuestre la aplicación de R. 1379 de 2017​ Planes de MES área metropolitana?
4. ¿Se ha socializado el contenido de R. 1379 de 2017​ Planes de MES área metropolitana con los responsables de cada proceso y con los trabajadores cuando es pertinente?
5. ¿Se revisa periódicamente el cumplimiento de R. 1379 de 2017​ Planes de MES área metropolitana y se generan planes de acción cuando se identifican desviaciones?
6. ¿La matriz legal se mantiene actualizada frente a modificaciones, derogatorias o nuevas disposiciones relacionadas con R. 1379 de 2017​ Planes de MES área metropolitana?</t>
  </si>
  <si>
    <t>DUST 1079/15, D. 1072/15 art. 2.2.4.6.15, 23 y 24 modificado por art 1 D.1252/2021</t>
  </si>
  <si>
    <t>1. ¿La empresa ha registrado en la matriz legal las obligaciones derivadas de DUST 1079/15, D. 1072/15 art. 2.2.4.6.15, 23 y 24 modificado por art 1 D.1252/2021 y ha definido su aplicabilidad?
2. ¿Los procedimientos y controles del SG-SST contemplan lo establecido en DUST 1079/15, D. 1072/15 art. 2.2.4.6.15, 23 y 24 modificado por art 1 D.1252/2021 para las actividades y procesos de la organización?
3. ¿Existe evidencia documental (registros, informes, actas, comunicaciones) que demuestre la aplicación de DUST 1079/15, D. 1072/15 art. 2.2.4.6.15, 23 y 24 modificado por art 1 D.1252/2021?
4. ¿Se ha socializado el contenido de DUST 1079/15, D. 1072/15 art. 2.2.4.6.15, 23 y 24 modificado por art 1 D.1252/2021 con los responsables de cada proceso y con los trabajadores cuando es pertinente?
5. ¿Se revisa periódicamente el cumplimiento de DUST 1079/15, D. 1072/15 art. 2.2.4.6.15, 23 y 24 modificado por art 1 D.1252/2021 y se generan planes de acción cuando se identifican desviaciones?
6. ¿La matriz legal se mantiene actualizada frente a modificaciones, derogatorias o nuevas disposiciones relacionadas con DUST 1079/15, D. 1072/15 art. 2.2.4.6.15, 23 y 24 modificado por art 1 D.1252/2021?</t>
  </si>
  <si>
    <t>Resolución 1572 mayo 3 2019 " reglamenta a instalación y uso de cintas retrorreflectivas y se dictan otras disposiciones"</t>
  </si>
  <si>
    <t>1. ¿La empresa ha identificado los requisitos específicos de Resolución 1572 mayo 3 2019 " reglamenta a instalación y uso de cintas retrorreflectivas y se dictan otras disposiciones" que aplican a su actividad económica y tamaño?
2. ¿Se dispone de procedimientos, instructivos o formatos que permitan cumplir con las exigencias técnicas y administrativas de Resolución 1572 mayo 3 2019 " reglamenta a instalación y uso de cintas retrorreflectivas y se dictan otras disposiciones"?
3. ¿Existen registros (informes, actas, listados, certificados, reportes en plataformas) que evidencien el cumplimiento de Resolución 1572 mayo 3 2019 " reglamenta a instalación y uso de cintas retrorreflectivas y se dictan otras disposiciones"?
4. ¿Los responsables del SG-SST realizan seguimiento periódico a los ítems de Resolución 1572 mayo 3 2019 " reglamenta a instalación y uso de cintas retrorreflectivas y se dictan otras disposiciones" incluidos en la matriz legal y documentan los resultados?
5. ¿Se han comunicado los requisitos de Resolución 1572 mayo 3 2019 " reglamenta a instalación y uso de cintas retrorreflectivas y se dictan otras disposiciones" a los trabajadores, contratistas y proveedores que se ven impactados por esta norma?
6. ¿Las no conformidades asociadas al cumplimiento de Resolución 1572 mayo 3 2019 " reglamenta a instalación y uso de cintas retrorreflectivas y se dictan otras disposiciones" generan acciones correctivas o de mejora con responsables y fechas definidas?</t>
  </si>
  <si>
    <t>Decreto 2106 22/11/2019  suprime, reforma trámites y procedimientos:  art. 110 modifica el art 12 de la ley 1503/11 el PESV NO requiere aval para su implementación</t>
  </si>
  <si>
    <t>1. ¿El SG-SST incorpora los requisitos establecidos en Decreto 2106 22/11/2019 suprime, reforma trámites y procedimientos: art. 110 modifica el art 12 de la ley 1503/11 el PESV NO requiere aval para su implementación dentro de sus procedimientos, estándares y controles operativos?
2. ¿Se cuenta con documentación actualizada (procedimientos, instructivos, protocolos) que evidencie la implementación de lo definido en Decreto 2106 22/11/2019 suprime, reforma trámites y procedimientos: art. 110 modifica el art 12 de la ley 1503/11 el PESV NO requiere aval para su implementación?
3. ¿Se verifica de manera periódica el cumplimiento de Decreto 2106 22/11/2019 suprime, reforma trámites y procedimientos: art. 110 modifica el art 12 de la ley 1503/11 el PESV NO requiere aval para su implementación en auditorías internas, inspecciones o revisiones de la matriz legal?
4. ¿Los responsables de cada proceso conocen las obligaciones derivadas de Decreto 2106 22/11/2019 suprime, reforma trámites y procedimientos: art. 110 modifica el art 12 de la ley 1503/11 el PESV NO requiere aval para su implementación que les aplican y cuentan con los recursos para cumplirlas?
5. ¿Se conservan registros (informes, actas, listas de verificación, reportes) que demuestren la aplicación práctica de Decreto 2106 22/11/2019 suprime, reforma trámites y procedimientos: art. 110 modifica el art 12 de la ley 1503/11 el PESV NO requiere aval para su implementación en la empresa?
6. ¿Las actualizaciones o derogatorias relacionadas con Decreto 2106 22/11/2019 suprime, reforma trámites y procedimientos: art. 110 modifica el art 12 de la ley 1503/11 el PESV NO requiere aval para su implementación se reflejan oportunamente en la matriz legal y en los documentos del SG-SST?</t>
  </si>
  <si>
    <t>Resolución 7495 de 3-07-2020 Derogó la resolución 1231 instrumento para evaluar los PESV</t>
  </si>
  <si>
    <t>1. ¿La empresa ha identificado los requisitos específicos de Resolución 7495 de 3-07-2020 Derogó la resolución 1231 instrumento para evaluar los PESV que aplican a su actividad económica y tamaño?
2. ¿Se dispone de procedimientos, instructivos o formatos que permitan cumplir con las exigencias técnicas y administrativas de Resolución 7495 de 3-07-2020 Derogó la resolución 1231 instrumento para evaluar los PESV?
3. ¿Existen registros (informes, actas, listados, certificados, reportes en plataformas) que evidencien el cumplimiento de Resolución 7495 de 3-07-2020 Derogó la resolución 1231 instrumento para evaluar los PESV?
4. ¿Los responsables del SG-SST realizan seguimiento periódico a los ítems de Resolución 7495 de 3-07-2020 Derogó la resolución 1231 instrumento para evaluar los PESV incluidos en la matriz legal y documentan los resultados?
5. ¿Se han comunicado los requisitos de Resolución 7495 de 3-07-2020 Derogó la resolución 1231 instrumento para evaluar los PESV a los trabajadores, contratistas y proveedores que se ven impactados por esta norma?
6. ¿Las no conformidades asociadas al cumplimiento de Resolución 7495 de 3-07-2020 Derogó la resolución 1231 instrumento para evaluar los PESV generan acciones correctivas o de mejora con responsables y fechas definidas?</t>
  </si>
  <si>
    <t>Ley 2050 de 12-08-2020 Por medio de la cual se modifica y adiciona la ley 1503 de 2011 y se dictan otras disposiciones en seguridad vial y tránsito (Incentivos PESV ART 5)</t>
  </si>
  <si>
    <t>1. ¿La empresa ha identificado y documentado en la matriz legal las obligaciones derivadas de Ley 2050 de 12-08-2020 Por medio de la cual se modifica y adiciona la ley 1503 de 2011 y se dictan otras disposiciones en seguridad vial y tránsito (Incentivos PESV ART 5) y su relación con el SG-SST?
2. ¿Las políticas, procedimientos y programas del SG-SST incorporan de forma explícita los lineamientos establecidos en Ley 2050 de 12-08-2020 Por medio de la cual se modifica y adiciona la ley 1503 de 2011 y se dictan otras disposiciones en seguridad vial y tránsito (Incentivos PESV ART 5)?
3. ¿Existe evidencia documental (actas, comunicaciones, registros, contratos, entre otros) que demuestre la aplicación de Ley 2050 de 12-08-2020 Por medio de la cual se modifica y adiciona la ley 1503 de 2011 y se dictan otras disposiciones en seguridad vial y tránsito (Incentivos PESV ART 5) en la organización?
4. ¿Se ha socializado con trabajadores, líderes y responsables del SG-SST el contenido y alcance de Ley 2050 de 12-08-2020 Por medio de la cual se modifica y adiciona la ley 1503 de 2011 y se dictan otras disposiciones en seguridad vial y tránsito (Incentivos PESV ART 5) y sus implicaciones en seguridad y salud en el trabajo?
5. ¿Se realiza seguimiento periódico al cumplimiento de Ley 2050 de 12-08-2020 Por medio de la cual se modifica y adiciona la ley 1503 de 2011 y se dictan otras disposiciones en seguridad vial y tránsito (Incentivos PESV ART 5), dejando soportes de las revisiones y acciones de mejora cuando se identifican brechas?
6. ¿Los cambios o reformas a Ley 2050 de 12-08-2020 Por medio de la cual se modifica y adiciona la ley 1503 de 2011 y se dictan otras disposiciones en seguridad vial y tránsito (Incentivos PESV ART 5) se registran oportunamente en la matriz legal y se comunican a los procesos impactados?</t>
  </si>
  <si>
    <t>R. 304004105 de 17-08-2021 ASV-ISV, Ley 1702 de 2013 Crea la agencia de seg vial</t>
  </si>
  <si>
    <t>1. ¿La empresa ha registrado en la matriz legal las obligaciones derivadas de R. 304004105 de 17-08-2021 ASV-ISV, Ley 1702 de 2013 Crea la agencia de seg vial y ha definido su aplicabilidad?
2. ¿Los procedimientos y controles del SG-SST contemplan lo establecido en R. 304004105 de 17-08-2021 ASV-ISV, Ley 1702 de 2013 Crea la agencia de seg vial para las actividades y procesos de la organización?
3. ¿Existe evidencia documental (registros, informes, actas, comunicaciones) que demuestre la aplicación de R. 304004105 de 17-08-2021 ASV-ISV, Ley 1702 de 2013 Crea la agencia de seg vial?
4. ¿Se ha socializado el contenido de R. 304004105 de 17-08-2021 ASV-ISV, Ley 1702 de 2013 Crea la agencia de seg vial con los responsables de cada proceso y con los trabajadores cuando es pertinente?
5. ¿Se revisa periódicamente el cumplimiento de R. 304004105 de 17-08-2021 ASV-ISV, Ley 1702 de 2013 Crea la agencia de seg vial y se generan planes de acción cuando se identifican desviaciones?
6. ¿La matriz legal se mantiene actualizada frente a modificaciones, derogatorias o nuevas disposiciones relacionadas con R. 304004105 de 17-08-2021 ASV-ISV, Ley 1702 de 2013 Crea la agencia de seg vial?</t>
  </si>
  <si>
    <t>Ley 1702 de 2013 Crea la agencia de seg vial</t>
  </si>
  <si>
    <t>1. ¿La empresa ha identificado y documentado en la matriz legal las obligaciones derivadas de Ley 1702 de 2013 Crea la agencia de seg vial y su relación con el SG-SST?
2. ¿Las políticas, procedimientos y programas del SG-SST incorporan de forma explícita los lineamientos establecidos en Ley 1702 de 2013 Crea la agencia de seg vial?
3. ¿Existe evidencia documental (actas, comunicaciones, registros, contratos, entre otros) que demuestre la aplicación de Ley 1702 de 2013 Crea la agencia de seg vial en la organización?
4. ¿Se ha socializado con trabajadores, líderes y responsables del SG-SST el contenido y alcance de Ley 1702 de 2013 Crea la agencia de seg vial y sus implicaciones en seguridad y salud en el trabajo?
5. ¿Se realiza seguimiento periódico al cumplimiento de Ley 1702 de 2013 Crea la agencia de seg vial, dejando soportes de las revisiones y acciones de mejora cuando se identifican brechas?
6. ¿Los cambios o reformas a Ley 1702 de 2013 Crea la agencia de seg vial se registran oportunamente en la matriz legal y se comunican a los procesos impactados?</t>
  </si>
  <si>
    <t>Resolución No. 3385 de 2020 establece y obliga a los conductores y acompañantes de motocicletas, a cumplir con las condiciones mínimas en el uso de cascos protectores.</t>
  </si>
  <si>
    <t>1. ¿La empresa ha identificado los requisitos específicos de Resolución No. 3385 de 2020 establece y obliga a los conductores y acompañantes de motocicletas, a cumplir con las condiciones mínimas en el uso de cascos protectores. que aplican a su actividad económica y tamaño?
2. ¿Se dispone de procedimientos, instructivos o formatos que permitan cumplir con las exigencias técnicas y administrativas de Resolución No. 3385 de 2020 establece y obliga a los conductores y acompañantes de motocicletas, a cumplir con las condiciones mínimas en el uso de cascos protectores.?
3. ¿Existen registros (informes, actas, listados, certificados, reportes en plataformas) que evidencien el cumplimiento de Resolución No. 3385 de 2020 establece y obliga a los conductores y acompañantes de motocicletas, a cumplir con las condiciones mínimas en el uso de cascos protectores.?
4. ¿Los responsables del SG-SST realizan seguimiento periódico a los ítems de Resolución No. 3385 de 2020 establece y obliga a los conductores y acompañantes de motocicletas, a cumplir con las condiciones mínimas en el uso de cascos protectores. incluidos en la matriz legal y documentan los resultados?
5. ¿Se han comunicado los requisitos de Resolución No. 3385 de 2020 establece y obliga a los conductores y acompañantes de motocicletas, a cumplir con las condiciones mínimas en el uso de cascos protectores. a los trabajadores, contratistas y proveedores que se ven impactados por esta norma?
6. ¿Las no conformidades asociadas al cumplimiento de Resolución No. 3385 de 2020 establece y obliga a los conductores y acompañantes de motocicletas, a cumplir con las condiciones mínimas en el uso de cascos protectores. generan acciones correctivas o de mejora con responsables y fechas definidas?</t>
  </si>
  <si>
    <t>Decreto 478 de 12-05-2021 Mintransporte modifica el plazo para certificar el SG-SST del sector transporte</t>
  </si>
  <si>
    <t>1. ¿El SG-SST incorpora los requisitos establecidos en Decreto 478 de 12-05-2021 Mintransporte modifica el plazo para certificar el SG-SST del sector transporte dentro de sus procedimientos, estándares y controles operativos?
2. ¿Se cuenta con documentación actualizada (procedimientos, instructivos, protocolos) que evidencie la implementación de lo definido en Decreto 478 de 12-05-2021 Mintransporte modifica el plazo para certificar el SG-SST del sector transporte?
3. ¿Se verifica de manera periódica el cumplimiento de Decreto 478 de 12-05-2021 Mintransporte modifica el plazo para certificar el SG-SST del sector transporte en auditorías internas, inspecciones o revisiones de la matriz legal?
4. ¿Los responsables de cada proceso conocen las obligaciones derivadas de Decreto 478 de 12-05-2021 Mintransporte modifica el plazo para certificar el SG-SST del sector transporte que les aplican y cuentan con los recursos para cumplirlas?
5. ¿Se conservan registros (informes, actas, listas de verificación, reportes) que demuestren la aplicación práctica de Decreto 478 de 12-05-2021 Mintransporte modifica el plazo para certificar el SG-SST del sector transporte en la empresa?
6. ¿Las actualizaciones o derogatorias relacionadas con Decreto 478 de 12-05-2021 Mintransporte modifica el plazo para certificar el SG-SST del sector transporte se reflejan oportunamente en la matriz legal y en los documentos del SG-SST?</t>
  </si>
  <si>
    <t>Decreto 1252 del 12 -10- 2021 PESV Autoridad que lo revisará y avalará, PESV Para empresas nuevas</t>
  </si>
  <si>
    <t>1. ¿El SG-SST incorpora los requisitos establecidos en Decreto 1252 del 12 -10- 2021 PESV Autoridad que lo revisará y avalará, PESV Para empresas nuevas dentro de sus procedimientos, estándares y controles operativos?
2. ¿Se cuenta con documentación actualizada (procedimientos, instructivos, protocolos) que evidencie la implementación de lo definido en Decreto 1252 del 12 -10- 2021 PESV Autoridad que lo revisará y avalará, PESV Para empresas nuevas?
3. ¿Se verifica de manera periódica el cumplimiento de Decreto 1252 del 12 -10- 2021 PESV Autoridad que lo revisará y avalará, PESV Para empresas nuevas en auditorías internas, inspecciones o revisiones de la matriz legal?
4. ¿Los responsables de cada proceso conocen las obligaciones derivadas de Decreto 1252 del 12 -10- 2021 PESV Autoridad que lo revisará y avalará, PESV Para empresas nuevas que les aplican y cuentan con los recursos para cumplirlas?
5. ¿Se conservan registros (informes, actas, listas de verificación, reportes) que demuestren la aplicación práctica de Decreto 1252 del 12 -10- 2021 PESV Autoridad que lo revisará y avalará, PESV Para empresas nuevas en la empresa?
6. ¿Las actualizaciones o derogatorias relacionadas con Decreto 1252 del 12 -10- 2021 PESV Autoridad que lo revisará y avalará, PESV Para empresas nuevas se reflejan oportunamente en la matriz legal y en los documentos del SG-SST?</t>
  </si>
  <si>
    <t>Resolución 40595 del 12-07-2022 Metodología para el diseño, implementación y verificación de los PESV. Deroga la Resololución 1565 de 2014</t>
  </si>
  <si>
    <t>1. ¿La empresa ha identificado los requisitos específicos de Resolución 40595 del 12-07-2022 Metodología para el diseño, implementación y verificación de los PESV. Deroga la Resololución 1565 de 2014 que aplican a su actividad económica y tamaño?
2. ¿Se dispone de procedimientos, instructivos o formatos que permitan cumplir con las exigencias técnicas y administrativas de Resolución 40595 del 12-07-2022 Metodología para el diseño, implementación y verificación de los PESV. Deroga la Resololución 1565 de 2014?
3. ¿Existen registros (informes, actas, listados, certificados, reportes en plataformas) que evidencien el cumplimiento de Resolución 40595 del 12-07-2022 Metodología para el diseño, implementación y verificación de los PESV. Deroga la Resololución 1565 de 2014?
4. ¿Los responsables del SG-SST realizan seguimiento periódico a los ítems de Resolución 40595 del 12-07-2022 Metodología para el diseño, implementación y verificación de los PESV. Deroga la Resololución 1565 de 2014 incluidos en la matriz legal y documentan los resultados?
5. ¿Se han comunicado los requisitos de Resolución 40595 del 12-07-2022 Metodología para el diseño, implementación y verificación de los PESV. Deroga la Resololución 1565 de 2014 a los trabajadores, contratistas y proveedores que se ven impactados por esta norma?
6. ¿Las no conformidades asociadas al cumplimiento de Resolución 40595 del 12-07-2022 Metodología para el diseño, implementación y verificación de los PESV. Deroga la Resololución 1565 de 2014 generan acciones correctivas o de mejora con responsables y fechas definidas?</t>
  </si>
  <si>
    <t>LEY 2251 de 14-07-2022  diseño e implementación de la política de seguridad vial con enfoque de sistema seguro   art 6 Licencia de conducción digital, art 12 y 13 velocidades</t>
  </si>
  <si>
    <t>1. ¿La empresa ha identificado y documentado en la matriz legal las obligaciones derivadas de LEY 2251 de 14-07-2022 diseño e implementación de la política de seguridad vial con enfoque de sistema seguro art 6 Licencia de conducción digital, art 12 y 13 velocidades y su relación con el SG-SST?
2. ¿Las políticas, procedimientos y programas del SG-SST incorporan de forma explícita los lineamientos establecidos en LEY 2251 de 14-07-2022 diseño e implementación de la política de seguridad vial con enfoque de sistema seguro art 6 Licencia de conducción digital, art 12 y 13 velocidades?
3. ¿Existe evidencia documental (actas, comunicaciones, registros, contratos, entre otros) que demuestre la aplicación de LEY 2251 de 14-07-2022 diseño e implementación de la política de seguridad vial con enfoque de sistema seguro art 6 Licencia de conducción digital, art 12 y 13 velocidades en la organización?
4. ¿Se ha socializado con trabajadores, líderes y responsables del SG-SST el contenido y alcance de LEY 2251 de 14-07-2022 diseño e implementación de la política de seguridad vial con enfoque de sistema seguro art 6 Licencia de conducción digital, art 12 y 13 velocidades y sus implicaciones en seguridad y salud en el trabajo?
5. ¿Se realiza seguimiento periódico al cumplimiento de LEY 2251 de 14-07-2022 diseño e implementación de la política de seguridad vial con enfoque de sistema seguro art 6 Licencia de conducción digital, art 12 y 13 velocidades, dejando soportes de las revisiones y acciones de mejora cuando se identifican brechas?
6. ¿Los cambios o reformas a LEY 2251 de 14-07-2022 diseño e implementación de la política de seguridad vial con enfoque de sistema seguro art 6 Licencia de conducción digital, art 12 y 13 velocidades se registran oportunamente en la matriz legal y se comunican a los procesos impactados?</t>
  </si>
  <si>
    <t>LEY 2252 del 14-07-2022 Modifica el art 112 de la ley 169 Señalizar zonas de prohibición por autoridad</t>
  </si>
  <si>
    <t>1. ¿La empresa ha identificado y documentado en la matriz legal las obligaciones derivadas de LEY 2252 del 14-07-2022 Modifica el art 112 de la ley 169 Señalizar zonas de prohibición por autoridad y su relación con el SG-SST?
2. ¿Las políticas, procedimientos y programas del SG-SST incorporan de forma explícita los lineamientos establecidos en LEY 2252 del 14-07-2022 Modifica el art 112 de la ley 169 Señalizar zonas de prohibición por autoridad?
3. ¿Existe evidencia documental (actas, comunicaciones, registros, contratos, entre otros) que demuestre la aplicación de LEY 2252 del 14-07-2022 Modifica el art 112 de la ley 169 Señalizar zonas de prohibición por autoridad en la organización?
4. ¿Se ha socializado con trabajadores, líderes y responsables del SG-SST el contenido y alcance de LEY 2252 del 14-07-2022 Modifica el art 112 de la ley 169 Señalizar zonas de prohibición por autoridad y sus implicaciones en seguridad y salud en el trabajo?
5. ¿Se realiza seguimiento periódico al cumplimiento de LEY 2252 del 14-07-2022 Modifica el art 112 de la ley 169 Señalizar zonas de prohibición por autoridad, dejando soportes de las revisiones y acciones de mejora cuando se identifican brechas?
6. ¿Los cambios o reformas a LEY 2252 del 14-07-2022 Modifica el art 112 de la ley 169 Señalizar zonas de prohibición por autoridad se registran oportunamente en la matriz legal y se comunican a los procesos impactados?</t>
  </si>
  <si>
    <t>Decreto 1430 del 29-07-2022 Plan Nacional de seg Vial 2022-2031</t>
  </si>
  <si>
    <t>1. ¿El SG-SST incorpora los requisitos establecidos en Decreto 1430 del 29-07-2022 Plan Nacional de seg Vial 2022-2031 dentro de sus procedimientos, estándares y controles operativos?
2. ¿Se cuenta con documentación actualizada (procedimientos, instructivos, protocolos) que evidencie la implementación de lo definido en Decreto 1430 del 29-07-2022 Plan Nacional de seg Vial 2022-2031?
3. ¿Se verifica de manera periódica el cumplimiento de Decreto 1430 del 29-07-2022 Plan Nacional de seg Vial 2022-2031 en auditorías internas, inspecciones o revisiones de la matriz legal?
4. ¿Los responsables de cada proceso conocen las obligaciones derivadas de Decreto 1430 del 29-07-2022 Plan Nacional de seg Vial 2022-2031 que les aplican y cuentan con los recursos para cumplirlas?
5. ¿Se conservan registros (informes, actas, listas de verificación, reportes) que demuestren la aplicación práctica de Decreto 1430 del 29-07-2022 Plan Nacional de seg Vial 2022-2031 en la empresa?
6. ¿Las actualizaciones o derogatorias relacionadas con Decreto 1430 del 29-07-2022 Plan Nacional de seg Vial 2022-2031 se reflejan oportunamente en la matriz legal y en los documentos del SG-SST?</t>
  </si>
  <si>
    <t>Resolución 45295 del 4-08-2022 Única Compilatoria Transito (Resolución 5178 del 27-07-2023 deber de reportar indicadores a empresas sector transportes, incluida de la R. única compilatoria</t>
  </si>
  <si>
    <t>1. ¿La empresa ha identificado los requisitos específicos de Resolución 45295 del 4-08-2022 Única Compilatoria Transito (Resolución 5178 del 27-07-2023 deber de reportar indicadores a empresas sector transportes, incluida de la R. única compilatoria que aplican a su actividad económica y tamaño?
2. ¿Se dispone de procedimientos, instructivos o formatos que permitan cumplir con las exigencias técnicas y administrativas de Resolución 45295 del 4-08-2022 Única Compilatoria Transito (Resolución 5178 del 27-07-2023 deber de reportar indicadores a empresas sector transportes, incluida de la R. única compilatoria?
3. ¿Existen registros (informes, actas, listados, certificados, reportes en plataformas) que evidencien el cumplimiento de Resolución 45295 del 4-08-2022 Única Compilatoria Transito (Resolución 5178 del 27-07-2023 deber de reportar indicadores a empresas sector transportes, incluida de la R. única compilatoria?
4. ¿Los responsables del SG-SST realizan seguimiento periódico a los ítems de Resolución 45295 del 4-08-2022 Única Compilatoria Transito (Resolución 5178 del 27-07-2023 deber de reportar indicadores a empresas sector transportes, incluida de la R. única compilatoria incluidos en la matriz legal y documentan los resultados?
5. ¿Se han comunicado los requisitos de Resolución 45295 del 4-08-2022 Única Compilatoria Transito (Resolución 5178 del 27-07-2023 deber de reportar indicadores a empresas sector transportes, incluida de la R. única compilatoria a los trabajadores, contratistas y proveedores que se ven impactados por esta norma?
6. ¿Las no conformidades asociadas al cumplimiento de Resolución 45295 del 4-08-2022 Única Compilatoria Transito (Resolución 5178 del 27-07-2023 deber de reportar indicadores a empresas sector transportes, incluida de la R. única compilatoria generan acciones correctivas o de mejora con responsables y fechas definidas?</t>
  </si>
  <si>
    <t>Ley 2283 del 5-01-2023 Por medio de la cual se modifica la ley 769 de 2002 y la ley 2161 de 2021, se reglamenta la actividad de los organismos de apoyo al tránsito, garantizando el buen funcionamiento de los centros de enseñanza automovilística - CEA</t>
  </si>
  <si>
    <t>1. ¿La empresa ha identificado y documentado en la matriz legal las obligaciones derivadas de Ley 2283 del 5-01-2023 Por medio de la cual se modifica la ley 769 de 2002 y la ley 2161 de 2021, se reglamenta la actividad de los organismos de apoyo al tránsito, garantizando el buen funcionamiento de los centros de enseñanza automovilística - CEA y su relación con el SG-SST?
2. ¿Las políticas, procedimientos y programas del SG-SST incorporan de forma explícita los lineamientos establecidos en Ley 2283 del 5-01-2023 Por medio de la cual se modifica la ley 769 de 2002 y la ley 2161 de 2021, se reglamenta la actividad de los organismos de apoyo al tránsito, garantizando el buen funcionamiento de los centros de enseñanza automovilística - CEA?
3. ¿Existe evidencia documental (actas, comunicaciones, registros, contratos, entre otros) que demuestre la aplicación de Ley 2283 del 5-01-2023 Por medio de la cual se modifica la ley 769 de 2002 y la ley 2161 de 2021, se reglamenta la actividad de los organismos de apoyo al tránsito, garantizando el buen funcionamiento de los centros de enseñanza automovilística - CEA en la organización?
4. ¿Se ha socializado con trabajadores, líderes y responsables del SG-SST el contenido y alcance de Ley 2283 del 5-01-2023 Por medio de la cual se modifica la ley 769 de 2002 y la ley 2161 de 2021, se reglamenta la actividad de los organismos de apoyo al tránsito, garantizando el buen funcionamiento de los centros de enseñanza automovilística - CEA y sus implicaciones en seguridad y salud en el trabajo?
5. ¿Se realiza seguimiento periódico al cumplimiento de Ley 2283 del 5-01-2023 Por medio de la cual se modifica la ley 769 de 2002 y la ley 2161 de 2021, se reglamenta la actividad de los organismos de apoyo al tránsito, garantizando el buen funcionamiento de los centros de enseñanza automovilística - CEA, dejando soportes de las revisiones y acciones de mejora cuando se identifican brechas?
6. ¿Los cambios o reformas a Ley 2283 del 5-01-2023 Por medio de la cual se modifica la ley 769 de 2002 y la ley 2161 de 2021, se reglamenta la actividad de los organismos de apoyo al tránsito, garantizando el buen funcionamiento de los centros de enseñanza automovilística - CEA se registran oportunamente en la matriz legal y se comunican a los procesos impactados?</t>
  </si>
  <si>
    <t>Resolución_756 del 27-04-2023 área metropolitana, Planes de Movilidad Empresarial Sostenible -Planes MES</t>
  </si>
  <si>
    <t>1. ¿La empresa ha identificado los requisitos específicos de Resolución_756 del 27-04-2023 área metropolitana, Planes de Movilidad Empresarial Sostenible -Planes MES que aplican a su actividad económica y tamaño?
2. ¿Se dispone de procedimientos, instructivos o formatos que permitan cumplir con las exigencias técnicas y administrativas de Resolución_756 del 27-04-2023 área metropolitana, Planes de Movilidad Empresarial Sostenible -Planes MES?
3. ¿Existen registros (informes, actas, listados, certificados, reportes en plataformas) que evidencien el cumplimiento de Resolución_756 del 27-04-2023 área metropolitana, Planes de Movilidad Empresarial Sostenible -Planes MES?
4. ¿Los responsables del SG-SST realizan seguimiento periódico a los ítems de Resolución_756 del 27-04-2023 área metropolitana, Planes de Movilidad Empresarial Sostenible -Planes MES incluidos en la matriz legal y documentan los resultados?
5. ¿Se han comunicado los requisitos de Resolución_756 del 27-04-2023 área metropolitana, Planes de Movilidad Empresarial Sostenible -Planes MES a los trabajadores, contratistas y proveedores que se ven impactados por esta norma?
6. ¿Las no conformidades asociadas al cumplimiento de Resolución_756 del 27-04-2023 área metropolitana, Planes de Movilidad Empresarial Sostenible -Planes MES generan acciones correctivas o de mejora con responsables y fechas definidas?</t>
  </si>
  <si>
    <t>Circular Externa 177 del 15-05-2023 Mintransporte Lineamientos de seguridad en la vía y otros</t>
  </si>
  <si>
    <t>1. ¿La empresa conoce y ha analizado los lineamientos impartidos en Circular Externa 177 del 15-05-2023 Mintransporte Lineamientos de seguridad en la vía y otros frente a su actividad y condiciones de trabajo?
2. ¿Se han incorporado en los procedimientos internos las orientaciones y criterios definidos en Circular Externa 177 del 15-05-2023 Mintransporte Lineamientos de seguridad en la vía y otros?
3. ¿Existe evidencia de comunicación interna (correos, circulares, actas) sobre el contenido de Circular Externa 177 del 15-05-2023 Mintransporte Lineamientos de seguridad en la vía y otros a las áreas responsables?
4. ¿Se verifica en auditorías o revisiones internas el cumplimiento de las instrucciones dadas en Circular Externa 177 del 15-05-2023 Mintransporte Lineamientos de seguridad en la vía y otros?
5. ¿Los cambios o nuevas circulares que complementan o sustituyen a Circular Externa 177 del 15-05-2023 Mintransporte Lineamientos de seguridad en la vía y otros se actualizan oportunamente en la matriz legal?
6. ¿Se conservan registros de las decisiones tomadas a partir de Circular Externa 177 del 15-05-2023 Mintransporte Lineamientos de seguridad en la vía y otros en relación con el SG-SST?</t>
  </si>
  <si>
    <t>Resolución 30355 del 31-05-2022  reglamenta la expedición de los certificados de aptitud física, mental y de coordinación motriz para la conducción de vehículos</t>
  </si>
  <si>
    <t>1. ¿La empresa ha identificado los requisitos específicos de Resolución 30355 del 31-05-2022 reglamenta la expedición de los certificados de aptitud física, mental y de coordinación motriz para la conducción de vehículos que aplican a su actividad económica y tamaño?
2. ¿Se dispone de procedimientos, instructivos o formatos que permitan cumplir con las exigencias técnicas y administrativas de Resolución 30355 del 31-05-2022 reglamenta la expedición de los certificados de aptitud física, mental y de coordinación motriz para la conducción de vehículos?
3. ¿Existen registros (informes, actas, listados, certificados, reportes en plataformas) que evidencien el cumplimiento de Resolución 30355 del 31-05-2022 reglamenta la expedición de los certificados de aptitud física, mental y de coordinación motriz para la conducción de vehículos?
4. ¿Los responsables del SG-SST realizan seguimiento periódico a los ítems de Resolución 30355 del 31-05-2022 reglamenta la expedición de los certificados de aptitud física, mental y de coordinación motriz para la conducción de vehículos incluidos en la matriz legal y documentan los resultados?
5. ¿Se han comunicado los requisitos de Resolución 30355 del 31-05-2022 reglamenta la expedición de los certificados de aptitud física, mental y de coordinación motriz para la conducción de vehículos a los trabajadores, contratistas y proveedores que se ven impactados por esta norma?
6. ¿Las no conformidades asociadas al cumplimiento de Resolución 30355 del 31-05-2022 reglamenta la expedición de los certificados de aptitud física, mental y de coordinación motriz para la conducción de vehículos generan acciones correctivas o de mejora con responsables y fechas definidas?</t>
  </si>
  <si>
    <t>Circular 637 del 19-10-2023 Mintransporte lineamientos sobre la fecha de exigibilidad de la primera revisión técnico mecánica y de emisiones contaminantes de vehículos automotores de servicio particular</t>
  </si>
  <si>
    <t>1. ¿La empresa conoce y ha analizado los lineamientos impartidos en Circular 637 del 19-10-2023 Mintransporte lineamientos sobre la fecha de exigibilidad de la primera revisión técnico mecánica y de emisiones contaminantes de vehículos automotores de servicio particular frente a su actividad y condiciones de trabajo?
2. ¿Se han incorporado en los procedimientos internos las orientaciones y criterios definidos en Circular 637 del 19-10-2023 Mintransporte lineamientos sobre la fecha de exigibilidad de la primera revisión técnico mecánica y de emisiones contaminantes de vehículos automotores de servicio particular?
3. ¿Existe evidencia de comunicación interna (correos, circulares, actas) sobre el contenido de Circular 637 del 19-10-2023 Mintransporte lineamientos sobre la fecha de exigibilidad de la primera revisión técnico mecánica y de emisiones contaminantes de vehículos automotores de servicio particular a las áreas responsables?
4. ¿Se verifica en auditorías o revisiones internas el cumplimiento de las instrucciones dadas en Circular 637 del 19-10-2023 Mintransporte lineamientos sobre la fecha de exigibilidad de la primera revisión técnico mecánica y de emisiones contaminantes de vehículos automotores de servicio particular?
5. ¿Los cambios o nuevas circulares que complementan o sustituyen a Circular 637 del 19-10-2023 Mintransporte lineamientos sobre la fecha de exigibilidad de la primera revisión técnico mecánica y de emisiones contaminantes de vehículos automotores de servicio particular se actualizan oportunamente en la matriz legal?
6. ¿Se conservan registros de las decisiones tomadas a partir de Circular 637 del 19-10-2023 Mintransporte lineamientos sobre la fecha de exigibilidad de la primera revisión técnico mecánica y de emisiones contaminantes de vehículos automotores de servicio particular en relación con el SG-SST?</t>
  </si>
  <si>
    <t>Ley 2294 del 19-05 de 2023 congreso  expide el plan nacional de desarrollo 2022- 2026 “Colombia potencia mundial de la vida”. art 179 1ra Revisión de vehículos automotores</t>
  </si>
  <si>
    <t>1. ¿La empresa ha identificado y documentado en la matriz legal las obligaciones derivadas de Ley 2294 del 19-05 de 2023 congreso expide el plan nacional de desarrollo 2022- 2026 “Colombia potencia mundial de la vida”. art 179 1ra Revisión de vehículos automotores y su relación con el SG-SST?
2. ¿Las políticas, procedimientos y programas del SG-SST incorporan de forma explícita los lineamientos establecidos en Ley 2294 del 19-05 de 2023 congreso expide el plan nacional de desarrollo 2022- 2026 “Colombia potencia mundial de la vida”. art 179 1ra Revisión de vehículos automotores?
3. ¿Existe evidencia documental (actas, comunicaciones, registros, contratos, entre otros) que demuestre la aplicación de Ley 2294 del 19-05 de 2023 congreso expide el plan nacional de desarrollo 2022- 2026 “Colombia potencia mundial de la vida”. art 179 1ra Revisión de vehículos automotores en la organización?
4. ¿Se ha socializado con trabajadores, líderes y responsables del SG-SST el contenido y alcance de Ley 2294 del 19-05 de 2023 congreso expide el plan nacional de desarrollo 2022- 2026 “Colombia potencia mundial de la vida”. art 179 1ra Revisión de vehículos automotores y sus implicaciones en seguridad y salud en el trabajo?
5. ¿Se realiza seguimiento periódico al cumplimiento de Ley 2294 del 19-05 de 2023 congreso expide el plan nacional de desarrollo 2022- 2026 “Colombia potencia mundial de la vida”. art 179 1ra Revisión de vehículos automotores, dejando soportes de las revisiones y acciones de mejora cuando se identifican brechas?
6. ¿Los cambios o reformas a Ley 2294 del 19-05 de 2023 congreso expide el plan nacional de desarrollo 2022- 2026 “Colombia potencia mundial de la vida”. art 179 1ra Revisión de vehículos automotores se registran oportunamente en la matriz legal y se comunican a los procesos impactados?</t>
  </si>
  <si>
    <t>Resolución 17145 del 28-04-2023 Mintransporte “Por la cual se modifica la Resolución 20223040045295 de 2022 y se dictan disposiciones para la correcta y amplia implementación de la política de simplificación y racionalización de trámites”.</t>
  </si>
  <si>
    <t>1. ¿La empresa ha identificado los requisitos específicos de Resolución 17145 del 28-04-2023 Mintransporte “Por la cual se modifica la Resolución 20223040045295 de 2022 y se dictan disposiciones para la correcta y amplia implementación de la política de simplificación y racionalización de trámites”. que aplican a su actividad económica y tamaño?
2. ¿Se dispone de procedimientos, instructivos o formatos que permitan cumplir con las exigencias técnicas y administrativas de Resolución 17145 del 28-04-2023 Mintransporte “Por la cual se modifica la Resolución 20223040045295 de 2022 y se dictan disposiciones para la correcta y amplia implementación de la política de simplificación y racionalización de trámites”.?
3. ¿Existen registros (informes, actas, listados, certificados, reportes en plataformas) que evidencien el cumplimiento de Resolución 17145 del 28-04-2023 Mintransporte “Por la cual se modifica la Resolución 20223040045295 de 2022 y se dictan disposiciones para la correcta y amplia implementación de la política de simplificación y racionalización de trámites”.?
4. ¿Los responsables del SG-SST realizan seguimiento periódico a los ítems de Resolución 17145 del 28-04-2023 Mintransporte “Por la cual se modifica la Resolución 20223040045295 de 2022 y se dictan disposiciones para la correcta y amplia implementación de la política de simplificación y racionalización de trámites”. incluidos en la matriz legal y documentan los resultados?
5. ¿Se han comunicado los requisitos de Resolución 17145 del 28-04-2023 Mintransporte “Por la cual se modifica la Resolución 20223040045295 de 2022 y se dictan disposiciones para la correcta y amplia implementación de la política de simplificación y racionalización de trámites”. a los trabajadores, contratistas y proveedores que se ven impactados por esta norma?
6. ¿Las no conformidades asociadas al cumplimiento de Resolución 17145 del 28-04-2023 Mintransporte “Por la cual se modifica la Resolución 20223040045295 de 2022 y se dictan disposiciones para la correcta y amplia implementación de la política de simplificación y racionalización de trámites”. generan acciones correctivas o de mejora con responsables y fechas definidas?</t>
  </si>
  <si>
    <t>Circular externa 117 del 5-04-2024 Mintransporte Vigencia de las Licencias de Conducción, Resolución 45005 de 17-09-2024 Mintransporte Por medio de la cual se sustituye el Capitulo 1 del Titulo 8 de la Resolución Única de Transito 20223040045295 de 2022 y se adopta el Manual de Señalización Vial de Colombia. Dispositivos uniformes en la infraestructura vial, para la regulación del transito y la seguridad vial, Circular 69 DEL 25-10-2024 Prestaciones AT Transporte, Ley 2435 del 12-11-2024 el congreso ajusta la sanción aplicable a algunas de las infracciones cometidas por los conductores de motocicletas y otros actores del tráfico vial, establecidas en el Código Nacional de Tránsito, a fin de que se ajusten los principios de justicia y equidad que orientan el Estado social de derecho. RESOLUCIÓN NÚMERO 14305 DE 31/12/2024 Mintransporte SIT “Por medio de la cual se adiciona el capítulo 9 del Título V de la Circular Única de Infraestructura y Transporte de la Superintendencia de Transporte y se dictan otras disposiciones”, Resolución 2338 del 6-03 de 2025 Super-transporte modifica el capítulo 6 del Título V de la Circular Única de Infraestructura y Transporte. Sistema de Administración de Riesgos de Lavado de Activos, Financiación del Terrorismo y Financiación de la Proliferación de Armas de Destrucción Masiva SARLAFT, Resolución 21045 del 30-05-2025 Mintransporte actualiza las tarifas RUN</t>
  </si>
  <si>
    <t>1. ¿La empresa conoce y ha analizado los lineamientos impartidos en Circular externa 117 del 5-04-2024 Mintransporte Vigencia de las Licencias de Conducción, Resolución 45005 de 17-09-2024 Mintransporte Por medio de la cual se sustituye el Capitulo 1 del Titulo 8 de la Resolución Única de Transito 20223040045295 de 2022 y se adopta el Manual de Señalización Vial de Colombia. Dispositivos uniformes en la infraestructura vial, para la regulación del transito y la seguridad vial, Circular 69 DEL 25-10-2024 Prestaciones AT Transporte, Ley 2435 del 12-11-2024 el congreso ajusta la sanción aplicable a algunas de las infracciones cometidas por los conductores de motocicletas y otros actores del tráfico vial, establecidas en el Código Nacional de Tránsito, a fin de que se ajusten los principios de justicia y equidad que orientan el Estado social de derecho. RESOLUCIÓN NÚMERO 14305 DE 31/12/2024 Mintransporte SIT “Por medio de la cual se adiciona el capítulo 9 del Título V de la Circular Única de Infraestructura y Transporte de la Superintendencia de Transporte y se dictan otras disposiciones”, Resolución 2338 del 6-03 de 2025 Super-transporte modifica el capítulo 6 del Título V de la Circular Única de Infraestructura y Transporte. Sistema de Administración de Riesgos de Lavado de Activos, Financiación del Terrorismo y Financiación de la Proliferación de Armas de Destrucción Masiva SARLAFT, Resolución 21045 del 30-05-2025 Mintransporte actualiza las tarifas RUN frente a su actividad y condiciones de trabajo?
2. ¿Se han incorporado en los procedimientos internos las orientaciones y criterios definidos en Circular externa 117 del 5-04-2024 Mintransporte Vigencia de las Licencias de Conducción, Resolución 45005 de 17-09-2024 Mintransporte Por medio de la cual se sustituye el Capitulo 1 del Titulo 8 de la Resolución Única de Transito 20223040045295 de 2022 y se adopta el Manual de Señalización Vial de Colombia. Dispositivos uniformes en la infraestructura vial, para la regulación del transito y la seguridad vial, Circular 69 DEL 25-10-2024 Prestaciones AT Transporte, Ley 2435 del 12-11-2024 el congreso ajusta la sanción aplicable a algunas de las infracciones cometidas por los conductores de motocicletas y otros actores del tráfico vial, establecidas en el Código Nacional de Tránsito, a fin de que se ajusten los principios de justicia y equidad que orientan el Estado social de derecho. RESOLUCIÓN NÚMERO 14305 DE 31/12/2024 Mintransporte SIT “Por medio de la cual se adiciona el capítulo 9 del Título V de la Circular Única de Infraestructura y Transporte de la Superintendencia de Transporte y se dictan otras disposiciones”, Resolución 2338 del 6-03 de 2025 Super-transporte modifica el capítulo 6 del Título V de la Circular Única de Infraestructura y Transporte. Sistema de Administración de Riesgos de Lavado de Activos, Financiación del Terrorismo y Financiación de la Proliferación de Armas de Destrucción Masiva SARLAFT, Resolución 21045 del 30-05-2025 Mintransporte actualiza las tarifas RUN?
3. ¿Existe evidencia de comunicación interna (correos, circulares, actas) sobre el contenido de Circular externa 117 del 5-04-2024 Mintransporte Vigencia de las Licencias de Conducción, Resolución 45005 de 17-09-2024 Mintransporte Por medio de la cual se sustituye el Capitulo 1 del Titulo 8 de la Resolución Única de Transito 20223040045295 de 2022 y se adopta el Manual de Señalización Vial de Colombia. Dispositivos uniformes en la infraestructura vial, para la regulación del transito y la seguridad vial, Circular 69 DEL 25-10-2024 Prestaciones AT Transporte, Ley 2435 del 12-11-2024 el congreso ajusta la sanción aplicable a algunas de las infracciones cometidas por los conductores de motocicletas y otros actores del tráfico vial, establecidas en el Código Nacional de Tránsito, a fin de que se ajusten los principios de justicia y equidad que orientan el Estado social de derecho. RESOLUCIÓN NÚMERO 14305 DE 31/12/2024 Mintransporte SIT “Por medio de la cual se adiciona el capítulo 9 del Título V de la Circular Única de Infraestructura y Transporte de la Superintendencia de Transporte y se dictan otras disposiciones”, Resolución 2338 del 6-03 de 2025 Super-transporte modifica el capítulo 6 del Título V de la Circular Única de Infraestructura y Transporte. Sistema de Administración de Riesgos de Lavado de Activos, Financiación del Terrorismo y Financiación de la Proliferación de Armas de Destrucción Masiva SARLAFT, Resolución 21045 del 30-05-2025 Mintransporte actualiza las tarifas RUN a las áreas responsables?
4. ¿Se verifica en auditorías o revisiones internas el cumplimiento de las instrucciones dadas en Circular externa 117 del 5-04-2024 Mintransporte Vigencia de las Licencias de Conducción, Resolución 45005 de 17-09-2024 Mintransporte Por medio de la cual se sustituye el Capitulo 1 del Titulo 8 de la Resolución Única de Transito 20223040045295 de 2022 y se adopta el Manual de Señalización Vial de Colombia. Dispositivos uniformes en la infraestructura vial, para la regulación del transito y la seguridad vial, Circular 69 DEL 25-10-2024 Prestaciones AT Transporte, Ley 2435 del 12-11-2024 el congreso ajusta la sanción aplicable a algunas de las infracciones cometidas por los conductores de motocicletas y otros actores del tráfico vial, establecidas en el Código Nacional de Tránsito, a fin de que se ajusten los principios de justicia y equidad que orientan el Estado social de derecho. RESOLUCIÓN NÚMERO 14305 DE 31/12/2024 Mintransporte SIT “Por medio de la cual se adiciona el capítulo 9 del Título V de la Circular Única de Infraestructura y Transporte de la Superintendencia de Transporte y se dictan otras disposiciones”, Resolución 2338 del 6-03 de 2025 Super-transporte modifica el capítulo 6 del Título V de la Circular Única de Infraestructura y Transporte. Sistema de Administración de Riesgos de Lavado de Activos, Financiación del Terrorismo y Financiación de la Proliferación de Armas de Destrucción Masiva SARLAFT, Resolución 21045 del 30-05-2025 Mintransporte actualiza las tarifas RUN?
5. ¿Los cambios o nuevas circulares que complementan o sustituyen a Circular externa 117 del 5-04-2024 Mintransporte Vigencia de las Licencias de Conducción, Resolución 45005 de 17-09-2024 Mintransporte Por medio de la cual se sustituye el Capitulo 1 del Titulo 8 de la Resolución Única de Transito 20223040045295 de 2022 y se adopta el Manual de Señalización Vial de Colombia. Dispositivos uniformes en la infraestructura vial, para la regulación del transito y la seguridad vial, Circular 69 DEL 25-10-2024 Prestaciones AT Transporte, Ley 2435 del 12-11-2024 el congreso ajusta la sanción aplicable a algunas de las infracciones cometidas por los conductores de motocicletas y otros actores del tráfico vial, establecidas en el Código Nacional de Tránsito, a fin de que se ajusten los principios de justicia y equidad que orientan el Estado social de derecho. RESOLUCIÓN NÚMERO 14305 DE 31/12/2024 Mintransporte SIT “Por medio de la cual se adiciona el capítulo 9 del Título V de la Circular Única de Infraestructura y Transporte de la Superintendencia de Transporte y se dictan otras disposiciones”, Resolución 2338 del 6-03 de 2025 Super-transporte modifica el capítulo 6 del Título V de la Circular Única de Infraestructura y Transporte. Sistema de Administración de Riesgos de Lavado de Activos, Financiación del Terrorismo y Financiación de la Proliferación de Armas de Destrucción Masiva SARLAFT, Resolución 21045 del 30-05-2025 Mintransporte actualiza las tarifas RUN se actualizan oportunamente en la matriz legal?
6. ¿Se conservan registros de las decisiones tomadas a partir de Circular externa 117 del 5-04-2024 Mintransporte Vigencia de las Licencias de Conducción, Resolución 45005 de 17-09-2024 Mintransporte Por medio de la cual se sustituye el Capitulo 1 del Titulo 8 de la Resolución Única de Transito 20223040045295 de 2022 y se adopta el Manual de Señalización Vial de Colombia. Dispositivos uniformes en la infraestructura vial, para la regulación del transito y la seguridad vial, Circular 69 DEL 25-10-2024 Prestaciones AT Transporte, Ley 2435 del 12-11-2024 el congreso ajusta la sanción aplicable a algunas de las infracciones cometidas por los conductores de motocicletas y otros actores del tráfico vial, establecidas en el Código Nacional de Tránsito, a fin de que se ajusten los principios de justicia y equidad que orientan el Estado social de derecho. RESOLUCIÓN NÚMERO 14305 DE 31/12/2024 Mintransporte SIT “Por medio de la cual se adiciona el capítulo 9 del Título V de la Circular Única de Infraestructura y Transporte de la Superintendencia de Transporte y se dictan otras disposiciones”, Resolución 2338 del 6-03 de 2025 Super-transporte modifica el capítulo 6 del Título V de la Circular Única de Infraestructura y Transporte. Sistema de Administración de Riesgos de Lavado de Activos, Financiación del Terrorismo y Financiación de la Proliferación de Armas de Destrucción Masiva SARLAFT, Resolución 21045 del 30-05-2025 Mintransporte actualiza las tarifas RUN en relación con el SG-SST?</t>
  </si>
  <si>
    <t>Resolución 45005 de 17-09-2024 Mintransporte Por medio de la cual se sustituye el Capitulo 1 del Titulo 8 de la Resolución Única de Transito 20223040045295 de 2022 y se adopta el Manual de Señalización Vial de Colombia. Dispositivos uniformes en la infraestructura vial, para la regulación del transito y la seguridad vial</t>
  </si>
  <si>
    <t>1. ¿La empresa ha identificado los requisitos específicos de Resolución 45005 de 17-09-2024 Mintransporte Por medio de la cual se sustituye el Capitulo 1 del Titulo 8 de la Resolución Única de Transito 20223040045295 de 2022 y se adopta el Manual de Señalización Vial de Colombia. Dispositivos uniformes en la infraestructura vial, para la regulación del transito y la seguridad vial que aplican a su actividad económica y tamaño?
2. ¿Se dispone de procedimientos, instructivos o formatos que permitan cumplir con las exigencias técnicas y administrativas de Resolución 45005 de 17-09-2024 Mintransporte Por medio de la cual se sustituye el Capitulo 1 del Titulo 8 de la Resolución Única de Transito 20223040045295 de 2022 y se adopta el Manual de Señalización Vial de Colombia. Dispositivos uniformes en la infraestructura vial, para la regulación del transito y la seguridad vial?
3. ¿Existen registros (informes, actas, listados, certificados, reportes en plataformas) que evidencien el cumplimiento de Resolución 45005 de 17-09-2024 Mintransporte Por medio de la cual se sustituye el Capitulo 1 del Titulo 8 de la Resolución Única de Transito 20223040045295 de 2022 y se adopta el Manual de Señalización Vial de Colombia. Dispositivos uniformes en la infraestructura vial, para la regulación del transito y la seguridad vial?
4. ¿Los responsables del SG-SST realizan seguimiento periódico a los ítems de Resolución 45005 de 17-09-2024 Mintransporte Por medio de la cual se sustituye el Capitulo 1 del Titulo 8 de la Resolución Única de Transito 20223040045295 de 2022 y se adopta el Manual de Señalización Vial de Colombia. Dispositivos uniformes en la infraestructura vial, para la regulación del transito y la seguridad vial incluidos en la matriz legal y documentan los resultados?
5. ¿Se han comunicado los requisitos de Resolución 45005 de 17-09-2024 Mintransporte Por medio de la cual se sustituye el Capitulo 1 del Titulo 8 de la Resolución Única de Transito 20223040045295 de 2022 y se adopta el Manual de Señalización Vial de Colombia. Dispositivos uniformes en la infraestructura vial, para la regulación del transito y la seguridad vial a los trabajadores, contratistas y proveedores que se ven impactados por esta norma?
6. ¿Las no conformidades asociadas al cumplimiento de Resolución 45005 de 17-09-2024 Mintransporte Por medio de la cual se sustituye el Capitulo 1 del Titulo 8 de la Resolución Única de Transito 20223040045295 de 2022 y se adopta el Manual de Señalización Vial de Colombia. Dispositivos uniformes en la infraestructura vial, para la regulación del transito y la seguridad vial generan acciones correctivas o de mejora con responsables y fechas definidas?</t>
  </si>
  <si>
    <t xml:space="preserve">Ley 2435 del 12-11-2024 el congreso ajusta la sanción aplicable a algunas de las infracciones cometidas por los conductores de motocicletas y otros actores del tráfico vial, establecidas en el Código Nacional de Tránsito, a fin de que se ajusten los principios de justicia y equidad que orientan el Estado social de derecho. </t>
  </si>
  <si>
    <t>1. ¿La empresa ha identificado y documentado en la matriz legal las obligaciones derivadas de Ley 2435 del 12-11-2024 el congreso ajusta la sanción aplicable a algunas de las infracciones cometidas por los conductores de motocicletas y otros actores del tráfico vial, establecidas en el Código Nacional de Tránsito, a fin de que se ajusten los principios de justicia y equidad que orientan el Estado social de derecho. y su relación con el SG-SST?
2. ¿Las políticas, procedimientos y programas del SG-SST incorporan de forma explícita los lineamientos establecidos en Ley 2435 del 12-11-2024 el congreso ajusta la sanción aplicable a algunas de las infracciones cometidas por los conductores de motocicletas y otros actores del tráfico vial, establecidas en el Código Nacional de Tránsito, a fin de que se ajusten los principios de justicia y equidad que orientan el Estado social de derecho.?
3. ¿Existe evidencia documental (actas, comunicaciones, registros, contratos, entre otros) que demuestre la aplicación de Ley 2435 del 12-11-2024 el congreso ajusta la sanción aplicable a algunas de las infracciones cometidas por los conductores de motocicletas y otros actores del tráfico vial, establecidas en el Código Nacional de Tránsito, a fin de que se ajusten los principios de justicia y equidad que orientan el Estado social de derecho. en la organización?
4. ¿Se ha socializado con trabajadores, líderes y responsables del SG-SST el contenido y alcance de Ley 2435 del 12-11-2024 el congreso ajusta la sanción aplicable a algunas de las infracciones cometidas por los conductores de motocicletas y otros actores del tráfico vial, establecidas en el Código Nacional de Tránsito, a fin de que se ajusten los principios de justicia y equidad que orientan el Estado social de derecho. y sus implicaciones en seguridad y salud en el trabajo?
5. ¿Se realiza seguimiento periódico al cumplimiento de Ley 2435 del 12-11-2024 el congreso ajusta la sanción aplicable a algunas de las infracciones cometidas por los conductores de motocicletas y otros actores del tráfico vial, establecidas en el Código Nacional de Tránsito, a fin de que se ajusten los principios de justicia y equidad que orientan el Estado social de derecho., dejando soportes de las revisiones y acciones de mejora cuando se identifican brechas?
6. ¿Los cambios o reformas a Ley 2435 del 12-11-2024 el congreso ajusta la sanción aplicable a algunas de las infracciones cometidas por los conductores de motocicletas y otros actores del tráfico vial, establecidas en el Código Nacional de Tránsito, a fin de que se ajusten los principios de justicia y equidad que orientan el Estado social de derecho. se registran oportunamente en la matriz legal y se comunican a los procesos impactados?</t>
  </si>
  <si>
    <t xml:space="preserve">Circular 69 DEL 25-10-2024 Prestaciones AT Transporte, Ley 2435 del 12-11-2024 el congreso ajusta la sanción aplicable a algunas de las infracciones cometidas por los conductores de motocicletas y otros actores del tráfico vial, establecidas en el Código Nacional de Tránsito, a fin de que se ajusten los principios de justicia y equidad que orientan el Estado social de derecho. </t>
  </si>
  <si>
    <t>1. ¿La empresa conoce y ha analizado los lineamientos impartidos en Circular 69 DEL 25-10-2024 Prestaciones AT Transporte, Ley 2435 del 12-11-2024 el congreso ajusta la sanción aplicable a algunas de las infracciones cometidas por los conductores de motocicletas y otros actores del tráfico vial, establecidas en el Código Nacional de Tránsito, a fin de que se ajusten los principios de justicia y equidad que orientan el Estado social de derecho. frente a su actividad y condiciones de trabajo?
2. ¿Se han incorporado en los procedimientos internos las orientaciones y criterios definidos en Circular 69 DEL 25-10-2024 Prestaciones AT Transporte, Ley 2435 del 12-11-2024 el congreso ajusta la sanción aplicable a algunas de las infracciones cometidas por los conductores de motocicletas y otros actores del tráfico vial, establecidas en el Código Nacional de Tránsito, a fin de que se ajusten los principios de justicia y equidad que orientan el Estado social de derecho.?
3. ¿Existe evidencia de comunicación interna (correos, circulares, actas) sobre el contenido de Circular 69 DEL 25-10-2024 Prestaciones AT Transporte, Ley 2435 del 12-11-2024 el congreso ajusta la sanción aplicable a algunas de las infracciones cometidas por los conductores de motocicletas y otros actores del tráfico vial, establecidas en el Código Nacional de Tránsito, a fin de que se ajusten los principios de justicia y equidad que orientan el Estado social de derecho. a las áreas responsables?
4. ¿Se verifica en auditorías o revisiones internas el cumplimiento de las instrucciones dadas en Circular 69 DEL 25-10-2024 Prestaciones AT Transporte, Ley 2435 del 12-11-2024 el congreso ajusta la sanción aplicable a algunas de las infracciones cometidas por los conductores de motocicletas y otros actores del tráfico vial, establecidas en el Código Nacional de Tránsito, a fin de que se ajusten los principios de justicia y equidad que orientan el Estado social de derecho.?
5. ¿Los cambios o nuevas circulares que complementan o sustituyen a Circular 69 DEL 25-10-2024 Prestaciones AT Transporte, Ley 2435 del 12-11-2024 el congreso ajusta la sanción aplicable a algunas de las infracciones cometidas por los conductores de motocicletas y otros actores del tráfico vial, establecidas en el Código Nacional de Tránsito, a fin de que se ajusten los principios de justicia y equidad que orientan el Estado social de derecho. se actualizan oportunamente en la matriz legal?
6. ¿Se conservan registros de las decisiones tomadas a partir de Circular 69 DEL 25-10-2024 Prestaciones AT Transporte, Ley 2435 del 12-11-2024 el congreso ajusta la sanción aplicable a algunas de las infracciones cometidas por los conductores de motocicletas y otros actores del tráfico vial, establecidas en el Código Nacional de Tránsito, a fin de que se ajusten los principios de justicia y equidad que orientan el Estado social de derecho. en relación con el SG-SST?</t>
  </si>
  <si>
    <t>RESOLUCIÓN NÚMERO 14305 DE 31/12/2024 Mintransporte SIT “Por medio de la cual se adiciona el capítulo 9 del Título V de la Circular Única de Infraestructura y Transporte de la Superintendencia de Transporte y se dictan otras disposiciones”</t>
  </si>
  <si>
    <t>1. ¿La empresa ha identificado los requisitos específicos de RESOLUCIÓN NÚMERO 14305 DE 31/12/2024 Mintransporte SIT “Por medio de la cual se adiciona el capítulo 9 del Título V de la Circular Única de Infraestructura y Transporte de la Superintendencia de Transporte y se dictan otras disposiciones” que aplican a su actividad económica y tamaño?
2. ¿Se dispone de procedimientos, instructivos o formatos que permitan cumplir con las exigencias técnicas y administrativas de RESOLUCIÓN NÚMERO 14305 DE 31/12/2024 Mintransporte SIT “Por medio de la cual se adiciona el capítulo 9 del Título V de la Circular Única de Infraestructura y Transporte de la Superintendencia de Transporte y se dictan otras disposiciones”?
3. ¿Existen registros (informes, actas, listados, certificados, reportes en plataformas) que evidencien el cumplimiento de RESOLUCIÓN NÚMERO 14305 DE 31/12/2024 Mintransporte SIT “Por medio de la cual se adiciona el capítulo 9 del Título V de la Circular Única de Infraestructura y Transporte de la Superintendencia de Transporte y se dictan otras disposiciones”?
4. ¿Los responsables del SG-SST realizan seguimiento periódico a los ítems de RESOLUCIÓN NÚMERO 14305 DE 31/12/2024 Mintransporte SIT “Por medio de la cual se adiciona el capítulo 9 del Título V de la Circular Única de Infraestructura y Transporte de la Superintendencia de Transporte y se dictan otras disposiciones” incluidos en la matriz legal y documentan los resultados?
5. ¿Se han comunicado los requisitos de RESOLUCIÓN NÚMERO 14305 DE 31/12/2024 Mintransporte SIT “Por medio de la cual se adiciona el capítulo 9 del Título V de la Circular Única de Infraestructura y Transporte de la Superintendencia de Transporte y se dictan otras disposiciones” a los trabajadores, contratistas y proveedores que se ven impactados por esta norma?
6. ¿Las no conformidades asociadas al cumplimiento de RESOLUCIÓN NÚMERO 14305 DE 31/12/2024 Mintransporte SIT “Por medio de la cual se adiciona el capítulo 9 del Título V de la Circular Única de Infraestructura y Transporte de la Superintendencia de Transporte y se dictan otras disposiciones” generan acciones correctivas o de mejora con responsables y fechas definidas?</t>
  </si>
  <si>
    <t>Resolución 2338 del 6-03 de 2025 Super-transporte modifica el capítulo 6 del Título V de la Circular Única de Infraestructura y Transporte. Sistema de Administración de Riesgos de Lavado de Activos, Financiación del Terrorismo y Financiación de la Proliferación de Armas de Destrucción Masiva SARLAFT, Resolución 21045 del 30-05-2025 Mintransporte actualiza las tarifas RUN</t>
  </si>
  <si>
    <t>1. ¿La empresa ha identificado los requisitos específicos de Resolución 2338 del 6-03 de 2025 Super-transporte modifica el capítulo 6 del Título V de la Circular Única de Infraestructura y Transporte. Sistema de Administración de Riesgos de Lavado de Activos, Financiación del Terrorismo y Financiación de la Proliferación de Armas de Destrucción Masiva SARLAFT, Resolución 21045 del 30-05-2025 Mintransporte actualiza las tarifas RUN que aplican a su actividad económica y tamaño?
2. ¿Se dispone de procedimientos, instructivos o formatos que permitan cumplir con las exigencias técnicas y administrativas de Resolución 2338 del 6-03 de 2025 Super-transporte modifica el capítulo 6 del Título V de la Circular Única de Infraestructura y Transporte. Sistema de Administración de Riesgos de Lavado de Activos, Financiación del Terrorismo y Financiación de la Proliferación de Armas de Destrucción Masiva SARLAFT, Resolución 21045 del 30-05-2025 Mintransporte actualiza las tarifas RUN?
3. ¿Existen registros (informes, actas, listados, certificados, reportes en plataformas) que evidencien el cumplimiento de Resolución 2338 del 6-03 de 2025 Super-transporte modifica el capítulo 6 del Título V de la Circular Única de Infraestructura y Transporte. Sistema de Administración de Riesgos de Lavado de Activos, Financiación del Terrorismo y Financiación de la Proliferación de Armas de Destrucción Masiva SARLAFT, Resolución 21045 del 30-05-2025 Mintransporte actualiza las tarifas RUN?
4. ¿Los responsables del SG-SST realizan seguimiento periódico a los ítems de Resolución 2338 del 6-03 de 2025 Super-transporte modifica el capítulo 6 del Título V de la Circular Única de Infraestructura y Transporte. Sistema de Administración de Riesgos de Lavado de Activos, Financiación del Terrorismo y Financiación de la Proliferación de Armas de Destrucción Masiva SARLAFT, Resolución 21045 del 30-05-2025 Mintransporte actualiza las tarifas RUN incluidos en la matriz legal y documentan los resultados?
5. ¿Se han comunicado los requisitos de Resolución 2338 del 6-03 de 2025 Super-transporte modifica el capítulo 6 del Título V de la Circular Única de Infraestructura y Transporte. Sistema de Administración de Riesgos de Lavado de Activos, Financiación del Terrorismo y Financiación de la Proliferación de Armas de Destrucción Masiva SARLAFT, Resolución 21045 del 30-05-2025 Mintransporte actualiza las tarifas RUN a los trabajadores, contratistas y proveedores que se ven impactados por esta norma?
6. ¿Las no conformidades asociadas al cumplimiento de Resolución 2338 del 6-03 de 2025 Super-transporte modifica el capítulo 6 del Título V de la Circular Única de Infraestructura y Transporte. Sistema de Administración de Riesgos de Lavado de Activos, Financiación del Terrorismo y Financiación de la Proliferación de Armas de Destrucción Masiva SARLAFT, Resolución 21045 del 30-05-2025 Mintransporte actualiza las tarifas RUN generan acciones correctivas o de mejora con responsables y fechas definidas?</t>
  </si>
  <si>
    <t>Resolución 21045 del 30-05-2025 Mintransporte actualiza las tarifas RUN</t>
  </si>
  <si>
    <t>1. ¿La empresa ha identificado los requisitos específicos de Resolución 21045 del 30-05-2025 Mintransporte actualiza las tarifas RUN que aplican a su actividad económica y tamaño?
2. ¿Se dispone de procedimientos, instructivos o formatos que permitan cumplir con las exigencias técnicas y administrativas de Resolución 21045 del 30-05-2025 Mintransporte actualiza las tarifas RUN?
3. ¿Existen registros (informes, actas, listados, certificados, reportes en plataformas) que evidencien el cumplimiento de Resolución 21045 del 30-05-2025 Mintransporte actualiza las tarifas RUN?
4. ¿Los responsables del SG-SST realizan seguimiento periódico a los ítems de Resolución 21045 del 30-05-2025 Mintransporte actualiza las tarifas RUN incluidos en la matriz legal y documentan los resultados?
5. ¿Se han comunicado los requisitos de Resolución 21045 del 30-05-2025 Mintransporte actualiza las tarifas RUN a los trabajadores, contratistas y proveedores que se ven impactados por esta norma?
6. ¿Las no conformidades asociadas al cumplimiento de Resolución 21045 del 30-05-2025 Mintransporte actualiza las tarifas RUN generan acciones correctivas o de mejora con responsables y fechas definidas?</t>
  </si>
  <si>
    <t xml:space="preserve">Concepto/criterio 2025 y cruces normativos: la Res. 1843/2025 articula pruebas de alcoholimetría/SPA con el PESV y la metodología vigente del MinTransporte (Res. 20223040040595 de 2022); para 2025 continúan obligaciones de PESV y registro SISI-PESV para sujetos obligados (operación logística propia/tercerizada). </t>
  </si>
  <si>
    <t>1. ¿La empresa ha registrado en la matriz legal las obligaciones derivadas de Concepto/criterio 2025 y cruces normativos: la Res. 1843/2025 articula pruebas de alcoholimetría/SPA con el PESV y la metodología vigente del MinTransporte (Res. 20223040040595 de 2022); para 2025 continúan obligaciones de PESV y registro SISI-PESV para sujetos obligados (operación logística propia/tercerizada). y ha definido su aplicabilidad?
2. ¿Los procedimientos y controles del SG-SST contemplan lo establecido en Concepto/criterio 2025 y cruces normativos: la Res. 1843/2025 articula pruebas de alcoholimetría/SPA con el PESV y la metodología vigente del MinTransporte (Res. 20223040040595 de 2022); para 2025 continúan obligaciones de PESV y registro SISI-PESV para sujetos obligados (operación logística propia/tercerizada). para las actividades y procesos de la organización?
3. ¿Existe evidencia documental (registros, informes, actas, comunicaciones) que demuestre la aplicación de Concepto/criterio 2025 y cruces normativos: la Res. 1843/2025 articula pruebas de alcoholimetría/SPA con el PESV y la metodología vigente del MinTransporte (Res. 20223040040595 de 2022); para 2025 continúan obligaciones de PESV y registro SISI-PESV para sujetos obligados (operación logística propia/tercerizada).?
4. ¿Se ha socializado el contenido de Concepto/criterio 2025 y cruces normativos: la Res. 1843/2025 articula pruebas de alcoholimetría/SPA con el PESV y la metodología vigente del MinTransporte (Res. 20223040040595 de 2022); para 2025 continúan obligaciones de PESV y registro SISI-PESV para sujetos obligados (operación logística propia/tercerizada). con los responsables de cada proceso y con los trabajadores cuando es pertinente?
5. ¿Se revisa periódicamente el cumplimiento de Concepto/criterio 2025 y cruces normativos: la Res. 1843/2025 articula pruebas de alcoholimetría/SPA con el PESV y la metodología vigente del MinTransporte (Res. 20223040040595 de 2022); para 2025 continúan obligaciones de PESV y registro SISI-PESV para sujetos obligados (operación logística propia/tercerizada). y se generan planes de acción cuando se identifican desviaciones?
6. ¿La matriz legal se mantiene actualizada frente a modificaciones, derogatorias o nuevas disposiciones relacionadas con Concepto/criterio 2025 y cruces normativos: la Res. 1843/2025 articula pruebas de alcoholimetría/SPA con el PESV y la metodología vigente del MinTransporte (Res. 20223040040595 de 2022); para 2025 continúan obligaciones de PESV y registro SISI-PESV para sujetos obligados (operación logística propia/tercerizada).?</t>
  </si>
  <si>
    <t>Control emergencias</t>
  </si>
  <si>
    <t>Resolución 2400/79 Art. 205  a 234 Medidas de prevención emergencias incluyendo sustancias químicas.</t>
  </si>
  <si>
    <t>1. ¿La empresa ha identificado los requisitos específicos de Resolución 2400/79 Art. 205 a 234 Medidas de prevención emergencias incluyendo sustancias químicas. que aplican a su actividad económica y tamaño?
2. ¿Se dispone de procedimientos, instructivos o formatos que permitan cumplir con las exigencias técnicas y administrativas de Resolución 2400/79 Art. 205 a 234 Medidas de prevención emergencias incluyendo sustancias químicas.?
3. ¿Existen registros (informes, actas, listados, certificados, reportes en plataformas) que evidencien el cumplimiento de Resolución 2400/79 Art. 205 a 234 Medidas de prevención emergencias incluyendo sustancias químicas.?
4. ¿Los responsables del SG-SST realizan seguimiento periódico a los ítems de Resolución 2400/79 Art. 205 a 234 Medidas de prevención emergencias incluyendo sustancias químicas. incluidos en la matriz legal y documentan los resultados?
5. ¿Se han comunicado los requisitos de Resolución 2400/79 Art. 205 a 234 Medidas de prevención emergencias incluyendo sustancias químicas. a los trabajadores, contratistas y proveedores que se ven impactados por esta norma?
6. ¿Las no conformidades asociadas al cumplimiento de Resolución 2400/79 Art. 205 a 234 Medidas de prevención emergencias incluyendo sustancias químicas. generan acciones correctivas o de mejora con responsables y fechas definidas?</t>
  </si>
  <si>
    <t>4.4</t>
  </si>
  <si>
    <t>Decisión 584 de 2004, (art. 16)</t>
  </si>
  <si>
    <t>1. ¿La empresa ha registrado en la matriz legal las obligaciones derivadas de Decisión 584 de 2004, (art. 16) y ha definido su aplicabilidad?
2. ¿Los procedimientos y controles del SG-SST contemplan lo establecido en Decisión 584 de 2004, (art. 16) para las actividades y procesos de la organización?
3. ¿Existe evidencia documental (registros, informes, actas, comunicaciones) que demuestre la aplicación de Decisión 584 de 2004, (art. 16)?
4. ¿Se ha socializado el contenido de Decisión 584 de 2004, (art. 16) con los responsables de cada proceso y con los trabajadores cuando es pertinente?
5. ¿Se revisa periódicamente el cumplimiento de Decisión 584 de 2004, (art. 16) y se generan planes de acción cuando se identifican desviaciones?
6. ¿La matriz legal se mantiene actualizada frente a modificaciones, derogatorias o nuevas disposiciones relacionadas con Decisión 584 de 2004, (art. 16)?</t>
  </si>
  <si>
    <t>Ley 9 de 1979 (art. 496,205,96)</t>
  </si>
  <si>
    <t>1. ¿La empresa ha identificado y documentado en la matriz legal las obligaciones derivadas de Ley 9 de 1979 (art. 496,205,96) y su relación con el SG-SST?
2. ¿Las políticas, procedimientos y programas del SG-SST incorporan de forma explícita los lineamientos establecidos en Ley 9 de 1979 (art. 496,205,96)?
3. ¿Existe evidencia documental (actas, comunicaciones, registros, contratos, entre otros) que demuestre la aplicación de Ley 9 de 1979 (art. 496,205,96) en la organización?
4. ¿Se ha socializado con trabajadores, líderes y responsables del SG-SST el contenido y alcance de Ley 9 de 1979 (art. 496,205,96) y sus implicaciones en seguridad y salud en el trabajo?
5. ¿Se realiza seguimiento periódico al cumplimiento de Ley 9 de 1979 (art. 496,205,96), dejando soportes de las revisiones y acciones de mejora cuando se identifican brechas?
6. ¿Los cambios o reformas a Ley 9 de 1979 (art. 496,205,96) se registran oportunamente en la matriz legal y se comunican a los procesos impactados?</t>
  </si>
  <si>
    <t>Ley 52 de 1993 (art. 29)</t>
  </si>
  <si>
    <t>1. ¿La empresa ha identificado y documentado en la matriz legal las obligaciones derivadas de Ley 52 de 1993 (art. 29) y su relación con el SG-SST?
2. ¿Las políticas, procedimientos y programas del SG-SST incorporan de forma explícita los lineamientos establecidos en Ley 52 de 1993 (art. 29)?
3. ¿Existe evidencia documental (actas, comunicaciones, registros, contratos, entre otros) que demuestre la aplicación de Ley 52 de 1993 (art. 29) en la organización?
4. ¿Se ha socializado con trabajadores, líderes y responsables del SG-SST el contenido y alcance de Ley 52 de 1993 (art. 29) y sus implicaciones en seguridad y salud en el trabajo?
5. ¿Se realiza seguimiento periódico al cumplimiento de Ley 52 de 1993 (art. 29), dejando soportes de las revisiones y acciones de mejora cuando se identifican brechas?
6. ¿Los cambios o reformas a Ley 52 de 1993 (art. 29) se registran oportunamente en la matriz legal y se comunican a los procesos impactados?</t>
  </si>
  <si>
    <t>Ley 361 de 1997(art. 48)</t>
  </si>
  <si>
    <t>1. ¿La empresa ha identificado y documentado en la matriz legal las obligaciones derivadas de Ley 361 de 1997(art. 48) y su relación con el SG-SST?
2. ¿Las políticas, procedimientos y programas del SG-SST incorporan de forma explícita los lineamientos establecidos en Ley 361 de 1997(art. 48)?
3. ¿Existe evidencia documental (actas, comunicaciones, registros, contratos, entre otros) que demuestre la aplicación de Ley 361 de 1997(art. 48) en la organización?
4. ¿Se ha socializado con trabajadores, líderes y responsables del SG-SST el contenido y alcance de Ley 361 de 1997(art. 48) y sus implicaciones en seguridad y salud en el trabajo?
5. ¿Se realiza seguimiento periódico al cumplimiento de Ley 361 de 1997(art. 48), dejando soportes de las revisiones y acciones de mejora cuando se identifican brechas?
6. ¿Los cambios o reformas a Ley 361 de 1997(art. 48) se registran oportunamente en la matriz legal y se comunican a los procesos impactados?</t>
  </si>
  <si>
    <t>Ley 1523 de 2012. Art 2. Desastres.</t>
  </si>
  <si>
    <t>1. ¿La empresa ha identificado y documentado en la matriz legal las obligaciones derivadas de Ley 1523 de 2012. Art 2. Desastres. y su relación con el SG-SST?
2. ¿Las políticas, procedimientos y programas del SG-SST incorporan de forma explícita los lineamientos establecidos en Ley 1523 de 2012. Art 2. Desastres.?
3. ¿Existe evidencia documental (actas, comunicaciones, registros, contratos, entre otros) que demuestre la aplicación de Ley 1523 de 2012. Art 2. Desastres. en la organización?
4. ¿Se ha socializado con trabajadores, líderes y responsables del SG-SST el contenido y alcance de Ley 1523 de 2012. Art 2. Desastres. y sus implicaciones en seguridad y salud en el trabajo?
5. ¿Se realiza seguimiento periódico al cumplimiento de Ley 1523 de 2012. Art 2. Desastres., dejando soportes de las revisiones y acciones de mejora cuando se identifican brechas?
6. ¿Los cambios o reformas a Ley 1523 de 2012. Art 2. Desastres. se registran oportunamente en la matriz legal y se comunican a los procesos impactados?</t>
  </si>
  <si>
    <t xml:space="preserve">Decreto 308 de 2016 Por medio del cual se adopta el Plan Nacional de Gestión de Riesgo de Desastres </t>
  </si>
  <si>
    <t>1. ¿El SG-SST incorpora los requisitos establecidos en Decreto 308 de 2016 Por medio del cual se adopta el Plan Nacional de Gestión de Riesgo de Desastres dentro de sus procedimientos, estándares y controles operativos?
2. ¿Se cuenta con documentación actualizada (procedimientos, instructivos, protocolos) que evidencie la implementación de lo definido en Decreto 308 de 2016 Por medio del cual se adopta el Plan Nacional de Gestión de Riesgo de Desastres?
3. ¿Se verifica de manera periódica el cumplimiento de Decreto 308 de 2016 Por medio del cual se adopta el Plan Nacional de Gestión de Riesgo de Desastres en auditorías internas, inspecciones o revisiones de la matriz legal?
4. ¿Los responsables de cada proceso conocen las obligaciones derivadas de Decreto 308 de 2016 Por medio del cual se adopta el Plan Nacional de Gestión de Riesgo de Desastres que les aplican y cuentan con los recursos para cumplirlas?
5. ¿Se conservan registros (informes, actas, listas de verificación, reportes) que demuestren la aplicación práctica de Decreto 308 de 2016 Por medio del cual se adopta el Plan Nacional de Gestión de Riesgo de Desastres en la empresa?
6. ¿Las actualizaciones o derogatorias relacionadas con Decreto 308 de 2016 Por medio del cual se adopta el Plan Nacional de Gestión de Riesgo de Desastres se reflejan oportunamente en la matriz legal y en los documentos del SG-SST?</t>
  </si>
  <si>
    <t>Decreto 1081 de 2015 Por medio del cual se expide el Decreto Reglamentario Único del Sector Presidencia de la República.</t>
  </si>
  <si>
    <t>1. ¿El SG-SST incorpora los requisitos establecidos en Decreto 1081 de 2015 Por medio del cual se expide el Decreto Reglamentario Único del Sector Presidencia de la República. dentro de sus procedimientos, estándares y controles operativos?
2. ¿Se cuenta con documentación actualizada (procedimientos, instructivos, protocolos) que evidencie la implementación de lo definido en Decreto 1081 de 2015 Por medio del cual se expide el Decreto Reglamentario Único del Sector Presidencia de la República.?
3. ¿Se verifica de manera periódica el cumplimiento de Decreto 1081 de 2015 Por medio del cual se expide el Decreto Reglamentario Único del Sector Presidencia de la República. en auditorías internas, inspecciones o revisiones de la matriz legal?
4. ¿Los responsables de cada proceso conocen las obligaciones derivadas de Decreto 1081 de 2015 Por medio del cual se expide el Decreto Reglamentario Único del Sector Presidencia de la República. que les aplican y cuentan con los recursos para cumplirlas?
5. ¿Se conservan registros (informes, actas, listas de verificación, reportes) que demuestren la aplicación práctica de Decreto 1081 de 2015 Por medio del cual se expide el Decreto Reglamentario Único del Sector Presidencia de la República. en la empresa?
6. ¿Las actualizaciones o derogatorias relacionadas con Decreto 1081 de 2015 Por medio del cual se expide el Decreto Reglamentario Único del Sector Presidencia de la República. se reflejan oportunamente en la matriz legal y en los documentos del SG-SST?</t>
  </si>
  <si>
    <t>R. 0256 2014 brigadas de emergencia deroga la 044</t>
  </si>
  <si>
    <t>1. ¿La empresa ha registrado en la matriz legal las obligaciones derivadas de R. 0256 2014 brigadas de emergencia deroga la 044 y ha definido su aplicabilidad?
2. ¿Los procedimientos y controles del SG-SST contemplan lo establecido en R. 0256 2014 brigadas de emergencia deroga la 044 para las actividades y procesos de la organización?
3. ¿Existe evidencia documental (registros, informes, actas, comunicaciones) que demuestre la aplicación de R. 0256 2014 brigadas de emergencia deroga la 044?
4. ¿Se ha socializado el contenido de R. 0256 2014 brigadas de emergencia deroga la 044 con los responsables de cada proceso y con los trabajadores cuando es pertinente?
5. ¿Se revisa periódicamente el cumplimiento de R. 0256 2014 brigadas de emergencia deroga la 044 y se generan planes de acción cuando se identifican desviaciones?
6. ¿La matriz legal se mantiene actualizada frente a modificaciones, derogatorias o nuevas disposiciones relacionadas con R. 0256 2014 brigadas de emergencia deroga la 044?</t>
  </si>
  <si>
    <t>Decreto 2157/17  directrices generales para la elaboración del Plan de Gestión de Riesgo de Desastres en las Entidades Públicas y Privadas (PGRDEPP)</t>
  </si>
  <si>
    <t>1. ¿El SG-SST incorpora los requisitos establecidos en Decreto 2157/17 directrices generales para la elaboración del Plan de Gestión de Riesgo de Desastres en las Entidades Públicas y Privadas (PGRDEPP) dentro de sus procedimientos, estándares y controles operativos?
2. ¿Se cuenta con documentación actualizada (procedimientos, instructivos, protocolos) que evidencie la implementación de lo definido en Decreto 2157/17 directrices generales para la elaboración del Plan de Gestión de Riesgo de Desastres en las Entidades Públicas y Privadas (PGRDEPP)?
3. ¿Se verifica de manera periódica el cumplimiento de Decreto 2157/17 directrices generales para la elaboración del Plan de Gestión de Riesgo de Desastres en las Entidades Públicas y Privadas (PGRDEPP) en auditorías internas, inspecciones o revisiones de la matriz legal?
4. ¿Los responsables de cada proceso conocen las obligaciones derivadas de Decreto 2157/17 directrices generales para la elaboración del Plan de Gestión de Riesgo de Desastres en las Entidades Públicas y Privadas (PGRDEPP) que les aplican y cuentan con los recursos para cumplirlas?
5. ¿Se conservan registros (informes, actas, listas de verificación, reportes) que demuestren la aplicación práctica de Decreto 2157/17 directrices generales para la elaboración del Plan de Gestión de Riesgo de Desastres en las Entidades Públicas y Privadas (PGRDEPP) en la empresa?
6. ¿Las actualizaciones o derogatorias relacionadas con Decreto 2157/17 directrices generales para la elaboración del Plan de Gestión de Riesgo de Desastres en las Entidades Públicas y Privadas (PGRDEPP) se reflejan oportunamente en la matriz legal y en los documentos del SG-SST?</t>
  </si>
  <si>
    <t>D. 1072/15 único reglamentario sector trabajo art. 2.2.4.6.15, 23, 24 y 25</t>
  </si>
  <si>
    <t>1. ¿El SG-SST incorpora los requisitos establecidos en D. 1072/15 único reglamentario sector trabajo art. 2.2.4.6.15, 23, 24 y 25 dentro de sus procedimientos, estándares y controles operativos?
2. ¿Se cuenta con documentación actualizada (procedimientos, instructivos, protocolos) que evidencie la implementación de lo definido en D. 1072/15 único reglamentario sector trabajo art. 2.2.4.6.15, 23, 24 y 25?
3. ¿Se verifica de manera periódica el cumplimiento de D. 1072/15 único reglamentario sector trabajo art. 2.2.4.6.15, 23, 24 y 25 en auditorías internas, inspecciones o revisiones de la matriz legal?
4. ¿Los responsables de cada proceso conocen las obligaciones derivadas de D. 1072/15 único reglamentario sector trabajo art. 2.2.4.6.15, 23, 24 y 25 que les aplican y cuentan con los recursos para cumplirlas?
5. ¿Se conservan registros (informes, actas, listas de verificación, reportes) que demuestren la aplicación práctica de D. 1072/15 único reglamentario sector trabajo art. 2.2.4.6.15, 23, 24 y 25 en la empresa?
6. ¿Las actualizaciones o derogatorias relacionadas con D. 1072/15 único reglamentario sector trabajo art. 2.2.4.6.15, 23, 24 y 25 se reflejan oportunamente en la matriz legal y en los documentos del SG-SST?</t>
  </si>
  <si>
    <t>D. 1076 Único reglamentario sector ambiente y desarrollo sostenible , Circular 26 24-07 de 2018 Instrucciones para la comunicación de eventos que pueden convertirse en probables Emergencias en Salud Pública</t>
  </si>
  <si>
    <t>1. ¿El SG-SST incorpora los requisitos establecidos en D. 1076 Único reglamentario sector ambiente y desarrollo sostenible , Circular 26 24-07 de 2018 Instrucciones para la comunicación de eventos que pueden convertirse en probables Emergencias en Salud Pública dentro de sus procedimientos, estándares y controles operativos?
2. ¿Se cuenta con documentación actualizada (procedimientos, instructivos, protocolos) que evidencie la implementación de lo definido en D. 1076 Único reglamentario sector ambiente y desarrollo sostenible , Circular 26 24-07 de 2018 Instrucciones para la comunicación de eventos que pueden convertirse en probables Emergencias en Salud Pública?
3. ¿Se verifica de manera periódica el cumplimiento de D. 1076 Único reglamentario sector ambiente y desarrollo sostenible , Circular 26 24-07 de 2018 Instrucciones para la comunicación de eventos que pueden convertirse en probables Emergencias en Salud Pública en auditorías internas, inspecciones o revisiones de la matriz legal?
4. ¿Los responsables de cada proceso conocen las obligaciones derivadas de D. 1076 Único reglamentario sector ambiente y desarrollo sostenible , Circular 26 24-07 de 2018 Instrucciones para la comunicación de eventos que pueden convertirse en probables Emergencias en Salud Pública que les aplican y cuentan con los recursos para cumplirlas?
5. ¿Se conservan registros (informes, actas, listas de verificación, reportes) que demuestren la aplicación práctica de D. 1076 Único reglamentario sector ambiente y desarrollo sostenible , Circular 26 24-07 de 2018 Instrucciones para la comunicación de eventos que pueden convertirse en probables Emergencias en Salud Pública en la empresa?
6. ¿Las actualizaciones o derogatorias relacionadas con D. 1076 Único reglamentario sector ambiente y desarrollo sostenible , Circular 26 24-07 de 2018 Instrucciones para la comunicación de eventos que pueden convertirse en probables Emergencias en Salud Pública se reflejan oportunamente en la matriz legal y en los documentos del SG-SST?</t>
  </si>
  <si>
    <t>Circular 26 24-07 de 2018 Instrucciones para la comunicación de eventos que pueden convertirse en probables Emergencias en Salud Pública</t>
  </si>
  <si>
    <t>1. ¿La empresa conoce y ha analizado los lineamientos impartidos en Circular 26 24-07 de 2018 Instrucciones para la comunicación de eventos que pueden convertirse en probables Emergencias en Salud Pública frente a su actividad y condiciones de trabajo?
2. ¿Se han incorporado en los procedimientos internos las orientaciones y criterios definidos en Circular 26 24-07 de 2018 Instrucciones para la comunicación de eventos que pueden convertirse en probables Emergencias en Salud Pública?
3. ¿Existe evidencia de comunicación interna (correos, circulares, actas) sobre el contenido de Circular 26 24-07 de 2018 Instrucciones para la comunicación de eventos que pueden convertirse en probables Emergencias en Salud Pública a las áreas responsables?
4. ¿Se verifica en auditorías o revisiones internas el cumplimiento de las instrucciones dadas en Circular 26 24-07 de 2018 Instrucciones para la comunicación de eventos que pueden convertirse en probables Emergencias en Salud Pública?
5. ¿Los cambios o nuevas circulares que complementan o sustituyen a Circular 26 24-07 de 2018 Instrucciones para la comunicación de eventos que pueden convertirse en probables Emergencias en Salud Pública se actualizan oportunamente en la matriz legal?
6. ¿Se conservan registros de las decisiones tomadas a partir de Circular 26 24-07 de 2018 Instrucciones para la comunicación de eventos que pueden convertirse en probables Emergencias en Salud Pública en relación con el SG-SST?</t>
  </si>
  <si>
    <t>Decreto  1478 del 03 de agosto de 2022. Por medio del cual se adopta la actualización del PNGRD y se modifica el Artículo 2.3.1.2.2.4.3 de la Subsección 4, Sección 2, Capítulo 2, Título 1, Libro 2, del Decreto Único Presidencial 1081 de 2015</t>
  </si>
  <si>
    <t>1. ¿El SG-SST incorpora los requisitos establecidos en Decreto 1478 del 03 de agosto de 2022. Por medio del cual se adopta la actualización del PNGRD y se modifica el Artículo 2.3.1.2.2.4.3 de la Subsección 4, Sección 2, Capítulo 2, Título 1, Libro 2, del Decreto Único Presidencial 1081 de 2015 dentro de sus procedimientos, estándares y controles operativos?
2. ¿Se cuenta con documentación actualizada (procedimientos, instructivos, protocolos) que evidencie la implementación de lo definido en Decreto 1478 del 03 de agosto de 2022. Por medio del cual se adopta la actualización del PNGRD y se modifica el Artículo 2.3.1.2.2.4.3 de la Subsección 4, Sección 2, Capítulo 2, Título 1, Libro 2, del Decreto Único Presidencial 1081 de 2015?
3. ¿Se verifica de manera periódica el cumplimiento de Decreto 1478 del 03 de agosto de 2022. Por medio del cual se adopta la actualización del PNGRD y se modifica el Artículo 2.3.1.2.2.4.3 de la Subsección 4, Sección 2, Capítulo 2, Título 1, Libro 2, del Decreto Único Presidencial 1081 de 2015 en auditorías internas, inspecciones o revisiones de la matriz legal?
4. ¿Los responsables de cada proceso conocen las obligaciones derivadas de Decreto 1478 del 03 de agosto de 2022. Por medio del cual se adopta la actualización del PNGRD y se modifica el Artículo 2.3.1.2.2.4.3 de la Subsección 4, Sección 2, Capítulo 2, Título 1, Libro 2, del Decreto Único Presidencial 1081 de 2015 que les aplican y cuentan con los recursos para cumplirlas?
5. ¿Se conservan registros (informes, actas, listas de verificación, reportes) que demuestren la aplicación práctica de Decreto 1478 del 03 de agosto de 2022. Por medio del cual se adopta la actualización del PNGRD y se modifica el Artículo 2.3.1.2.2.4.3 de la Subsección 4, Sección 2, Capítulo 2, Título 1, Libro 2, del Decreto Único Presidencial 1081 de 2015 en la empresa?
6. ¿Las actualizaciones o derogatorias relacionadas con Decreto 1478 del 03 de agosto de 2022. Por medio del cual se adopta la actualización del PNGRD y se modifica el Artículo 2.3.1.2.2.4.3 de la Subsección 4, Sección 2, Capítulo 2, Título 1, Libro 2, del Decreto Único Presidencial 1081 de 2015 se reflejan oportunamente en la matriz legal y en los documentos del SG-SST?</t>
  </si>
  <si>
    <t>Circular 20202050064551 de 2020 Todo establecimiento deberá cumplir con inspecciones  de seguridad que realiza el cuerpo de bomberos (DNBC)</t>
  </si>
  <si>
    <t>1. ¿La empresa conoce y ha analizado los lineamientos impartidos en Circular 20202050064551 de 2020 Todo establecimiento deberá cumplir con inspecciones de seguridad que realiza el cuerpo de bomberos (DNBC) frente a su actividad y condiciones de trabajo?
2. ¿Se han incorporado en los procedimientos internos las orientaciones y criterios definidos en Circular 20202050064551 de 2020 Todo establecimiento deberá cumplir con inspecciones de seguridad que realiza el cuerpo de bomberos (DNBC)?
3. ¿Existe evidencia de comunicación interna (correos, circulares, actas) sobre el contenido de Circular 20202050064551 de 2020 Todo establecimiento deberá cumplir con inspecciones de seguridad que realiza el cuerpo de bomberos (DNBC) a las áreas responsables?
4. ¿Se verifica en auditorías o revisiones internas el cumplimiento de las instrucciones dadas en Circular 20202050064551 de 2020 Todo establecimiento deberá cumplir con inspecciones de seguridad que realiza el cuerpo de bomberos (DNBC)?
5. ¿Los cambios o nuevas circulares que complementan o sustituyen a Circular 20202050064551 de 2020 Todo establecimiento deberá cumplir con inspecciones de seguridad que realiza el cuerpo de bomberos (DNBC) se actualizan oportunamente en la matriz legal?
6. ¿Se conservan registros de las decisiones tomadas a partir de Circular 20202050064551 de 2020 Todo establecimiento deberá cumplir con inspecciones de seguridad que realiza el cuerpo de bomberos (DNBC) en relación con el SG-SST?</t>
  </si>
  <si>
    <t xml:space="preserve">Parágrafo 2 del art. 93 de la Lev 1801 de 2016 las cuales podrán traducirse en imposición de multas e incluso suspensión temporal dela actividad; las tarifas de estas corresponden al consejo municipal de jurisdicción de la empresa, si el consejo no la ha definido la empresa no debe pagar, los cuerpos de bomberos NO tiene competencia para definir tarifas y cobros ni para sancionar, el incumplimiento del certificado de seguridad podrá se sancionado  por las autoridades policivas acorde al </t>
  </si>
  <si>
    <t>1. ¿La empresa ha registrado en la matriz legal las obligaciones derivadas de Parágrafo 2 del art. 93 de la Lev 1801 de 2016 las cuales podrán traducirse en imposición de multas e incluso suspensión temporal dela actividad; las tarifas de estas corresponden al consejo municipal de jurisdicción de la empresa, si el consejo no la ha definido la empresa no debe pagar, los cuerpos de bomberos NO tiene competencia para definir tarifas y cobros ni para sancionar, el incumplimiento del certificado de seguridad podrá se sancionado por las autoridades policivas acorde al y ha definido su aplicabilidad?
2. ¿Los procedimientos y controles del SG-SST contemplan lo establecido en Parágrafo 2 del art. 93 de la Lev 1801 de 2016 las cuales podrán traducirse en imposición de multas e incluso suspensión temporal dela actividad; las tarifas de estas corresponden al consejo municipal de jurisdicción de la empresa, si el consejo no la ha definido la empresa no debe pagar, los cuerpos de bomberos NO tiene competencia para definir tarifas y cobros ni para sancionar, el incumplimiento del certificado de seguridad podrá se sancionado por las autoridades policivas acorde al para las actividades y procesos de la organización?
3. ¿Existe evidencia documental (registros, informes, actas, comunicaciones) que demuestre la aplicación de Parágrafo 2 del art. 93 de la Lev 1801 de 2016 las cuales podrán traducirse en imposición de multas e incluso suspensión temporal dela actividad; las tarifas de estas corresponden al consejo municipal de jurisdicción de la empresa, si el consejo no la ha definido la empresa no debe pagar, los cuerpos de bomberos NO tiene competencia para definir tarifas y cobros ni para sancionar, el incumplimiento del certificado de seguridad podrá se sancionado por las autoridades policivas acorde al?
4. ¿Se ha socializado el contenido de Parágrafo 2 del art. 93 de la Lev 1801 de 2016 las cuales podrán traducirse en imposición de multas e incluso suspensión temporal dela actividad; las tarifas de estas corresponden al consejo municipal de jurisdicción de la empresa, si el consejo no la ha definido la empresa no debe pagar, los cuerpos de bomberos NO tiene competencia para definir tarifas y cobros ni para sancionar, el incumplimiento del certificado de seguridad podrá se sancionado por las autoridades policivas acorde al con los responsables de cada proceso y con los trabajadores cuando es pertinente?
5. ¿Se revisa periódicamente el cumplimiento de Parágrafo 2 del art. 93 de la Lev 1801 de 2016 las cuales podrán traducirse en imposición de multas e incluso suspensión temporal dela actividad; las tarifas de estas corresponden al consejo municipal de jurisdicción de la empresa, si el consejo no la ha definido la empresa no debe pagar, los cuerpos de bomberos NO tiene competencia para definir tarifas y cobros ni para sancionar, el incumplimiento del certificado de seguridad podrá se sancionado por las autoridades policivas acorde al y se generan planes de acción cuando se identifican desviaciones?
6. ¿La matriz legal se mantiene actualizada frente a modificaciones, derogatorias o nuevas disposiciones relacionadas con Parágrafo 2 del art. 93 de la Lev 1801 de 2016 las cuales podrán traducirse en imposición de multas e incluso suspensión temporal dela actividad; las tarifas de estas corresponden al consejo municipal de jurisdicción de la empresa, si el consejo no la ha definido la empresa no debe pagar, los cuerpos de bomberos NO tiene competencia para definir tarifas y cobros ni para sancionar, el incumplimiento del certificado de seguridad podrá se sancionado por las autoridades policivas acorde al?</t>
  </si>
  <si>
    <t>Circular 65 del 18-12 de 2023 UNGRD Lineamientos para la preparación y alistamiento ante la primera temporada seca o de menos lluvias de 2024 bajo la incidencia del Fenómeno el Niño 2023-2024. Circular 19 del 8-03-2024 UNGRD Lineamientos para la preparación y alistamiento ante la primera temporada de lluvias 2024 en condiciones de debilitamiento del Fenómeno el Ni 2023-2024. D. 0037 del 27-01 de 2024 Presidencia de la república declara una situación de Desastre Nacional en todo el territorio nacional</t>
  </si>
  <si>
    <t>1. ¿La empresa conoce y ha analizado los lineamientos impartidos en Circular 65 del 18-12 de 2023 UNGRD Lineamientos para la preparación y alistamiento ante la primera temporada seca o de menos lluvias de 2024 bajo la incidencia del Fenómeno el Niño 2023-2024. Circular 19 del 8-03-2024 UNGRD Lineamientos para la preparación y alistamiento ante la primera temporada de lluvias 2024 en condiciones de debilitamiento del Fenómeno el Ni 2023-2024. D. 0037 del 27-01 de 2024 Presidencia de la república declara una situación de Desastre Nacional en todo el territorio nacional frente a su actividad y condiciones de trabajo?
2. ¿Se han incorporado en los procedimientos internos las orientaciones y criterios definidos en Circular 65 del 18-12 de 2023 UNGRD Lineamientos para la preparación y alistamiento ante la primera temporada seca o de menos lluvias de 2024 bajo la incidencia del Fenómeno el Niño 2023-2024. Circular 19 del 8-03-2024 UNGRD Lineamientos para la preparación y alistamiento ante la primera temporada de lluvias 2024 en condiciones de debilitamiento del Fenómeno el Ni 2023-2024. D. 0037 del 27-01 de 2024 Presidencia de la república declara una situación de Desastre Nacional en todo el territorio nacional?
3. ¿Existe evidencia de comunicación interna (correos, circulares, actas) sobre el contenido de Circular 65 del 18-12 de 2023 UNGRD Lineamientos para la preparación y alistamiento ante la primera temporada seca o de menos lluvias de 2024 bajo la incidencia del Fenómeno el Niño 2023-2024. Circular 19 del 8-03-2024 UNGRD Lineamientos para la preparación y alistamiento ante la primera temporada de lluvias 2024 en condiciones de debilitamiento del Fenómeno el Ni 2023-2024. D. 0037 del 27-01 de 2024 Presidencia de la república declara una situación de Desastre Nacional en todo el territorio nacional a las áreas responsables?
4. ¿Se verifica en auditorías o revisiones internas el cumplimiento de las instrucciones dadas en Circular 65 del 18-12 de 2023 UNGRD Lineamientos para la preparación y alistamiento ante la primera temporada seca o de menos lluvias de 2024 bajo la incidencia del Fenómeno el Niño 2023-2024. Circular 19 del 8-03-2024 UNGRD Lineamientos para la preparación y alistamiento ante la primera temporada de lluvias 2024 en condiciones de debilitamiento del Fenómeno el Ni 2023-2024. D. 0037 del 27-01 de 2024 Presidencia de la república declara una situación de Desastre Nacional en todo el territorio nacional?
5. ¿Los cambios o nuevas circulares que complementan o sustituyen a Circular 65 del 18-12 de 2023 UNGRD Lineamientos para la preparación y alistamiento ante la primera temporada seca o de menos lluvias de 2024 bajo la incidencia del Fenómeno el Niño 2023-2024. Circular 19 del 8-03-2024 UNGRD Lineamientos para la preparación y alistamiento ante la primera temporada de lluvias 2024 en condiciones de debilitamiento del Fenómeno el Ni 2023-2024. D. 0037 del 27-01 de 2024 Presidencia de la república declara una situación de Desastre Nacional en todo el territorio nacional se actualizan oportunamente en la matriz legal?
6. ¿Se conservan registros de las decisiones tomadas a partir de Circular 65 del 18-12 de 2023 UNGRD Lineamientos para la preparación y alistamiento ante la primera temporada seca o de menos lluvias de 2024 bajo la incidencia del Fenómeno el Niño 2023-2024. Circular 19 del 8-03-2024 UNGRD Lineamientos para la preparación y alistamiento ante la primera temporada de lluvias 2024 en condiciones de debilitamiento del Fenómeno el Ni 2023-2024. D. 0037 del 27-01 de 2024 Presidencia de la república declara una situación de Desastre Nacional en todo el territorio nacional en relación con el SG-SST?</t>
  </si>
  <si>
    <t xml:space="preserve">Circular 19 del 8-03-2024 UNGRD Lineamientos para la preparación y alistamiento ante la primera temporada de lluvias 2024 en condiciones de debilitamiento del Fenómeno el Ni 2023-2024. </t>
  </si>
  <si>
    <t>1. ¿La empresa conoce y ha analizado los lineamientos impartidos en Circular 19 del 8-03-2024 UNGRD Lineamientos para la preparación y alistamiento ante la primera temporada de lluvias 2024 en condiciones de debilitamiento del Fenómeno el Ni 2023-2024. frente a su actividad y condiciones de trabajo?
2. ¿Se han incorporado en los procedimientos internos las orientaciones y criterios definidos en Circular 19 del 8-03-2024 UNGRD Lineamientos para la preparación y alistamiento ante la primera temporada de lluvias 2024 en condiciones de debilitamiento del Fenómeno el Ni 2023-2024.?
3. ¿Existe evidencia de comunicación interna (correos, circulares, actas) sobre el contenido de Circular 19 del 8-03-2024 UNGRD Lineamientos para la preparación y alistamiento ante la primera temporada de lluvias 2024 en condiciones de debilitamiento del Fenómeno el Ni 2023-2024. a las áreas responsables?
4. ¿Se verifica en auditorías o revisiones internas el cumplimiento de las instrucciones dadas en Circular 19 del 8-03-2024 UNGRD Lineamientos para la preparación y alistamiento ante la primera temporada de lluvias 2024 en condiciones de debilitamiento del Fenómeno el Ni 2023-2024.?
5. ¿Los cambios o nuevas circulares que complementan o sustituyen a Circular 19 del 8-03-2024 UNGRD Lineamientos para la preparación y alistamiento ante la primera temporada de lluvias 2024 en condiciones de debilitamiento del Fenómeno el Ni 2023-2024. se actualizan oportunamente en la matriz legal?
6. ¿Se conservan registros de las decisiones tomadas a partir de Circular 19 del 8-03-2024 UNGRD Lineamientos para la preparación y alistamiento ante la primera temporada de lluvias 2024 en condiciones de debilitamiento del Fenómeno el Ni 2023-2024. en relación con el SG-SST?</t>
  </si>
  <si>
    <t>D. 0037 del 27-01 de 2024 Presidencia de la república declara una situación de Desastre Nacional en todo el territorio nacional</t>
  </si>
  <si>
    <t>1. ¿El SG-SST incorpora los requisitos establecidos en D. 0037 del 27-01 de 2024 Presidencia de la república declara una situación de Desastre Nacional en todo el territorio nacional dentro de sus procedimientos, estándares y controles operativos?
2. ¿Se cuenta con documentación actualizada (procedimientos, instructivos, protocolos) que evidencie la implementación de lo definido en D. 0037 del 27-01 de 2024 Presidencia de la república declara una situación de Desastre Nacional en todo el territorio nacional?
3. ¿Se verifica de manera periódica el cumplimiento de D. 0037 del 27-01 de 2024 Presidencia de la república declara una situación de Desastre Nacional en todo el territorio nacional en auditorías internas, inspecciones o revisiones de la matriz legal?
4. ¿Los responsables de cada proceso conocen las obligaciones derivadas de D. 0037 del 27-01 de 2024 Presidencia de la república declara una situación de Desastre Nacional en todo el territorio nacional que les aplican y cuentan con los recursos para cumplirlas?
5. ¿Se conservan registros (informes, actas, listas de verificación, reportes) que demuestren la aplicación práctica de D. 0037 del 27-01 de 2024 Presidencia de la república declara una situación de Desastre Nacional en todo el territorio nacional en la empresa?
6. ¿Las actualizaciones o derogatorias relacionadas con D. 0037 del 27-01 de 2024 Presidencia de la república declara una situación de Desastre Nacional en todo el territorio nacional se reflejan oportunamente en la matriz legal y en los documentos del SG-SST?</t>
  </si>
  <si>
    <t>Circular 59 del 14-08-2024 La  UNGRD  Participación simulacro nacional el 2-10-2024 9am</t>
  </si>
  <si>
    <t>1. ¿La empresa conoce y ha analizado los lineamientos impartidos en Circular 59 del 14-08-2024 La UNGRD Participación simulacro nacional el 2-10-2024 9am frente a su actividad y condiciones de trabajo?
2. ¿Se han incorporado en los procedimientos internos las orientaciones y criterios definidos en Circular 59 del 14-08-2024 La UNGRD Participación simulacro nacional el 2-10-2024 9am?
3. ¿Existe evidencia de comunicación interna (correos, circulares, actas) sobre el contenido de Circular 59 del 14-08-2024 La UNGRD Participación simulacro nacional el 2-10-2024 9am a las áreas responsables?
4. ¿Se verifica en auditorías o revisiones internas el cumplimiento de las instrucciones dadas en Circular 59 del 14-08-2024 La UNGRD Participación simulacro nacional el 2-10-2024 9am?
5. ¿Los cambios o nuevas circulares que complementan o sustituyen a Circular 59 del 14-08-2024 La UNGRD Participación simulacro nacional el 2-10-2024 9am se actualizan oportunamente en la matriz legal?
6. ¿Se conservan registros de las decisiones tomadas a partir de Circular 59 del 14-08-2024 La UNGRD Participación simulacro nacional el 2-10-2024 9am en relación con el SG-SST?</t>
  </si>
  <si>
    <t>Decreto 539 de 2022 Por el cual se expide el Reglamento de Higiene y Seguridad en las Labores Mineras a Cielo Abierto arts 117 al 130</t>
  </si>
  <si>
    <t>1. ¿El SG-SST incorpora los requisitos establecidos en Decreto 539 de 2022 Por el cual se expide el Reglamento de Higiene y Seguridad en las Labores Mineras a Cielo Abierto arts 117 al 130 dentro de sus procedimientos, estándares y controles operativos?
2. ¿Se cuenta con documentación actualizada (procedimientos, instructivos, protocolos) que evidencie la implementación de lo definido en Decreto 539 de 2022 Por el cual se expide el Reglamento de Higiene y Seguridad en las Labores Mineras a Cielo Abierto arts 117 al 130?
3. ¿Se verifica de manera periódica el cumplimiento de Decreto 539 de 2022 Por el cual se expide el Reglamento de Higiene y Seguridad en las Labores Mineras a Cielo Abierto arts 117 al 130 en auditorías internas, inspecciones o revisiones de la matriz legal?
4. ¿Los responsables de cada proceso conocen las obligaciones derivadas de Decreto 539 de 2022 Por el cual se expide el Reglamento de Higiene y Seguridad en las Labores Mineras a Cielo Abierto arts 117 al 130 que les aplican y cuentan con los recursos para cumplirlas?
5. ¿Se conservan registros (informes, actas, listas de verificación, reportes) que demuestren la aplicación práctica de Decreto 539 de 2022 Por el cual se expide el Reglamento de Higiene y Seguridad en las Labores Mineras a Cielo Abierto arts 117 al 130 en la empresa?
6. ¿Las actualizaciones o derogatorias relacionadas con Decreto 539 de 2022 Por el cual se expide el Reglamento de Higiene y Seguridad en las Labores Mineras a Cielo Abierto arts 117 al 130 se reflejan oportunamente en la matriz legal y en los documentos del SG-SST?</t>
  </si>
  <si>
    <t>Riesgo público: Atentado o secuestro, Delincuencia, Orden público.</t>
  </si>
  <si>
    <t>Ley 986 de 2005 Art. 15. Condiciones laborales de los secuestrados, Condiciones actuales de violencia y orden público</t>
  </si>
  <si>
    <t>1. ¿La empresa ha identificado y documentado en la matriz legal las obligaciones derivadas de Ley 986 de 2005 Art. 15. Condiciones laborales de los secuestrados, Condiciones actuales de violencia y orden público y su relación con el SG-SST?
2. ¿Las políticas, procedimientos y programas del SG-SST incorporan de forma explícita los lineamientos establecidos en Ley 986 de 2005 Art. 15. Condiciones laborales de los secuestrados, Condiciones actuales de violencia y orden público?
3. ¿Existe evidencia documental (actas, comunicaciones, registros, contratos, entre otros) que demuestre la aplicación de Ley 986 de 2005 Art. 15. Condiciones laborales de los secuestrados, Condiciones actuales de violencia y orden público en la organización?
4. ¿Se ha socializado con trabajadores, líderes y responsables del SG-SST el contenido y alcance de Ley 986 de 2005 Art. 15. Condiciones laborales de los secuestrados, Condiciones actuales de violencia y orden público y sus implicaciones en seguridad y salud en el trabajo?
5. ¿Se realiza seguimiento periódico al cumplimiento de Ley 986 de 2005 Art. 15. Condiciones laborales de los secuestrados, Condiciones actuales de violencia y orden público, dejando soportes de las revisiones y acciones de mejora cuando se identifican brechas?
6. ¿Los cambios o reformas a Ley 986 de 2005 Art. 15. Condiciones laborales de los secuestrados, Condiciones actuales de violencia y orden público se registran oportunamente en la matriz legal y se comunican a los procesos impactados?</t>
  </si>
  <si>
    <t>Ley 40 de enero 19 de 1993 adopta el estatuto nacional contra el secuestro y se dictan otras disposiciones. art 25 Sanciones a empresas nacionales y extranjeras por el pago de un secuestrado</t>
  </si>
  <si>
    <t>1. ¿La empresa ha identificado y documentado en la matriz legal las obligaciones derivadas de Ley 40 de enero 19 de 1993 adopta el estatuto nacional contra el secuestro y se dictan otras disposiciones. art 25 Sanciones a empresas nacionales y extranjeras por el pago de un secuestrado y su relación con el SG-SST?
2. ¿Las políticas, procedimientos y programas del SG-SST incorporan de forma explícita los lineamientos establecidos en Ley 40 de enero 19 de 1993 adopta el estatuto nacional contra el secuestro y se dictan otras disposiciones. art 25 Sanciones a empresas nacionales y extranjeras por el pago de un secuestrado?
3. ¿Existe evidencia documental (actas, comunicaciones, registros, contratos, entre otros) que demuestre la aplicación de Ley 40 de enero 19 de 1993 adopta el estatuto nacional contra el secuestro y se dictan otras disposiciones. art 25 Sanciones a empresas nacionales y extranjeras por el pago de un secuestrado en la organización?
4. ¿Se ha socializado con trabajadores, líderes y responsables del SG-SST el contenido y alcance de Ley 40 de enero 19 de 1993 adopta el estatuto nacional contra el secuestro y se dictan otras disposiciones. art 25 Sanciones a empresas nacionales y extranjeras por el pago de un secuestrado y sus implicaciones en seguridad y salud en el trabajo?
5. ¿Se realiza seguimiento periódico al cumplimiento de Ley 40 de enero 19 de 1993 adopta el estatuto nacional contra el secuestro y se dictan otras disposiciones. art 25 Sanciones a empresas nacionales y extranjeras por el pago de un secuestrado, dejando soportes de las revisiones y acciones de mejora cuando se identifican brechas?
6. ¿Los cambios o reformas a Ley 40 de enero 19 de 1993 adopta el estatuto nacional contra el secuestro y se dictan otras disposiciones. art 25 Sanciones a empresas nacionales y extranjeras por el pago de un secuestrado se registran oportunamente en la matriz legal y se comunican a los procesos impactados?</t>
  </si>
  <si>
    <t>Le 599 del 24-07-2000 por la cual se expide el código penal</t>
  </si>
  <si>
    <t>1. ¿La empresa ha registrado en la matriz legal las obligaciones derivadas de Le 599 del 24-07-2000 por la cual se expide el código penal y ha definido su aplicabilidad?
2. ¿Los procedimientos y controles del SG-SST contemplan lo establecido en Le 599 del 24-07-2000 por la cual se expide el código penal para las actividades y procesos de la organización?
3. ¿Existe evidencia documental (registros, informes, actas, comunicaciones) que demuestre la aplicación de Le 599 del 24-07-2000 por la cual se expide el código penal?
4. ¿Se ha socializado el contenido de Le 599 del 24-07-2000 por la cual se expide el código penal con los responsables de cada proceso y con los trabajadores cuando es pertinente?
5. ¿Se revisa periódicamente el cumplimiento de Le 599 del 24-07-2000 por la cual se expide el código penal y se generan planes de acción cuando se identifican desviaciones?
6. ¿La matriz legal se mantiene actualizada frente a modificaciones, derogatorias o nuevas disposiciones relacionadas con Le 599 del 24-07-2000 por la cual se expide el código penal?</t>
  </si>
  <si>
    <t>LEY 971 del 14-07 de 2005  por medio de la cual se reglamenta el mecanismo de búsqueda urgente y se dictan otras disposiciones. Artículo 6°. Procedencia. La solicitud para que se active el mecanismo de búsqueda urgente procede desde el momento en que se presume que una persona ha sido desaparecida. En ningún caso podrá exigirse que transcurra un determinado lapso para la presentación de la solicitud de activación del mecanismo de búsqueda urgente, ni las autoridades podrán negarse a practicar las diligencias que de ellas se soliciten, o les sean ordenadas, so pretexto de que existen plazos legales para considerar a la persona como desaparecida.</t>
  </si>
  <si>
    <t>1. ¿La empresa ha identificado y documentado en la matriz legal las obligaciones derivadas de LEY 971 del 14-07 de 2005 por medio de la cual se reglamenta el mecanismo de búsqueda urgente y se dictan otras disposiciones. Artículo 6°. Procedencia. La solicitud para que se active el mecanismo de búsqueda urgente procede desde el momento en que se presume que una persona ha sido desaparecida. En ningún caso podrá exigirse que transcurra un determinado lapso para la presentación de la solicitud de activación del mecanismo de búsqueda urgente, ni las autoridades podrán negarse a practicar las diligencias que de ellas se soliciten, o les sean ordenadas, so pretexto de que existen plazos legales para considerar a la persona como desaparecida. y su relación con el SG-SST?
2. ¿Las políticas, procedimientos y programas del SG-SST incorporan de forma explícita los lineamientos establecidos en LEY 971 del 14-07 de 2005 por medio de la cual se reglamenta el mecanismo de búsqueda urgente y se dictan otras disposiciones. Artículo 6°. Procedencia. La solicitud para que se active el mecanismo de búsqueda urgente procede desde el momento en que se presume que una persona ha sido desaparecida. En ningún caso podrá exigirse que transcurra un determinado lapso para la presentación de la solicitud de activación del mecanismo de búsqueda urgente, ni las autoridades podrán negarse a practicar las diligencias que de ellas se soliciten, o les sean ordenadas, so pretexto de que existen plazos legales para considerar a la persona como desaparecida.?
3. ¿Existe evidencia documental (actas, comunicaciones, registros, contratos, entre otros) que demuestre la aplicación de LEY 971 del 14-07 de 2005 por medio de la cual se reglamenta el mecanismo de búsqueda urgente y se dictan otras disposiciones. Artículo 6°. Procedencia. La solicitud para que se active el mecanismo de búsqueda urgente procede desde el momento en que se presume que una persona ha sido desaparecida. En ningún caso podrá exigirse que transcurra un determinado lapso para la presentación de la solicitud de activación del mecanismo de búsqueda urgente, ni las autoridades podrán negarse a practicar las diligencias que de ellas se soliciten, o les sean ordenadas, so pretexto de que existen plazos legales para considerar a la persona como desaparecida. en la organización?
4. ¿Se ha socializado con trabajadores, líderes y responsables del SG-SST el contenido y alcance de LEY 971 del 14-07 de 2005 por medio de la cual se reglamenta el mecanismo de búsqueda urgente y se dictan otras disposiciones. Artículo 6°. Procedencia. La solicitud para que se active el mecanismo de búsqueda urgente procede desde el momento en que se presume que una persona ha sido desaparecida. En ningún caso podrá exigirse que transcurra un determinado lapso para la presentación de la solicitud de activación del mecanismo de búsqueda urgente, ni las autoridades podrán negarse a practicar las diligencias que de ellas se soliciten, o les sean ordenadas, so pretexto de que existen plazos legales para considerar a la persona como desaparecida. y sus implicaciones en seguridad y salud en el trabajo?
5. ¿Se realiza seguimiento periódico al cumplimiento de LEY 971 del 14-07 de 2005 por medio de la cual se reglamenta el mecanismo de búsqueda urgente y se dictan otras disposiciones. Artículo 6°. Procedencia. La solicitud para que se active el mecanismo de búsqueda urgente procede desde el momento en que se presume que una persona ha sido desaparecida. En ningún caso podrá exigirse que transcurra un determinado lapso para la presentación de la solicitud de activación del mecanismo de búsqueda urgente, ni las autoridades podrán negarse a practicar las diligencias que de ellas se soliciten, o les sean ordenadas, so pretexto de que existen plazos legales para considerar a la persona como desaparecida., dejando soportes de las revisiones y acciones de mejora cuando se identifican brechas?
6. ¿Los cambios o reformas a LEY 971 del 14-07 de 2005 por medio de la cual se reglamenta el mecanismo de búsqueda urgente y se dictan otras disposiciones. Artículo 6°. Procedencia. La solicitud para que se active el mecanismo de búsqueda urgente procede desde el momento en que se presume que una persona ha sido desaparecida. En ningún caso podrá exigirse que transcurra un determinado lapso para la presentación de la solicitud de activación del mecanismo de búsqueda urgente, ni las autoridades podrán negarse a practicar las diligencias que de ellas se soliciten, o les sean ordenadas, so pretexto de que existen plazos legales para considerar a la persona como desaparecida. se registran oportunamente en la matriz legal y se comunican a los procesos impactados?</t>
  </si>
  <si>
    <t>ARTÍCULO 9o. Adiciónese el artículo 188E a la Ley 599 de 2000, el cual quedará así:</t>
  </si>
  <si>
    <t>1. ¿La empresa ha registrado en la matriz legal las obligaciones derivadas de ARTÍCULO 9o. Adiciónese el artículo 188E a la Ley 599 de 2000, el cual quedará así: y ha definido su aplicabilidad?
2. ¿Los procedimientos y controles del SG-SST contemplan lo establecido en ARTÍCULO 9o. Adiciónese el artículo 188E a la Ley 599 de 2000, el cual quedará así: para las actividades y procesos de la organización?
3. ¿Existe evidencia documental (registros, informes, actas, comunicaciones) que demuestre la aplicación de ARTÍCULO 9o. Adiciónese el artículo 188E a la Ley 599 de 2000, el cual quedará así:?
4. ¿Se ha socializado el contenido de ARTÍCULO 9o. Adiciónese el artículo 188E a la Ley 599 de 2000, el cual quedará así: con los responsables de cada proceso y con los trabajadores cuando es pertinente?
5. ¿Se revisa periódicamente el cumplimiento de ARTÍCULO 9o. Adiciónese el artículo 188E a la Ley 599 de 2000, el cual quedará así: y se generan planes de acción cuando se identifican desviaciones?
6. ¿La matriz legal se mantiene actualizada frente a modificaciones, derogatorias o nuevas disposiciones relacionadas con ARTÍCULO 9o. Adiciónese el artículo 188E a la Ley 599 de 2000, el cual quedará así:?</t>
  </si>
  <si>
    <t>Artículo 188E. Amenazas contra defensores de Derechos Humanos y servidores públicos. El que por cualquier medio atemorice o amenace a una persona que ejerza actividades de promoción y protección de los derechos humanos, o a sus familiares, por medio de la cual se fortalecen la investigación y judicialización de organizaciones criminales, se adoptan medidas para su sujeción a la justicia y se dictan otras Art 9o. Adiciónese el artículo 188E a la Ley 599 de 2000, el cual quedará así: Artículo 188E. Amenazas contra defensores de Derechos Humanos y servidores públicos. El que por cualquier medio atemorice o amenace a una persona que ejerza actividades de promoción y protección de los derechos humanos, o a sus familiares, disposiciones.</t>
  </si>
  <si>
    <t>1. ¿La empresa ha registrado en la matriz legal las obligaciones derivadas de Artículo 188E. Amenazas contra defensores de Derechos Humanos y servidores públicos. El que por cualquier medio atemorice o amenace a una persona que ejerza actividades de promoción y protección de los derechos humanos, o a sus familiares, por medio de la cual se fortalecen la investigación y judicialización de organizaciones criminales, se adoptan medidas para su sujeción a la justicia y se dictan otras Art 9o. Adiciónese el artículo 188E a la Ley 599 de 2000, el cual quedará así: Artículo 188E. Amenazas contra defensores de Derechos Humanos y servidores públicos. El que por cualquier medio atemorice o amenace a una persona que ejerza actividades de promoción y protección de los derechos humanos, o a sus familiares, disposiciones. y ha definido su aplicabilidad?
2. ¿Los procedimientos y controles del SG-SST contemplan lo establecido en Artículo 188E. Amenazas contra defensores de Derechos Humanos y servidores públicos. El que por cualquier medio atemorice o amenace a una persona que ejerza actividades de promoción y protección de los derechos humanos, o a sus familiares, por medio de la cual se fortalecen la investigación y judicialización de organizaciones criminales, se adoptan medidas para su sujeción a la justicia y se dictan otras Art 9o. Adiciónese el artículo 188E a la Ley 599 de 2000, el cual quedará así: Artículo 188E. Amenazas contra defensores de Derechos Humanos y servidores públicos. El que por cualquier medio atemorice o amenace a una persona que ejerza actividades de promoción y protección de los derechos humanos, o a sus familiares, disposiciones. para las actividades y procesos de la organización?
3. ¿Existe evidencia documental (registros, informes, actas, comunicaciones) que demuestre la aplicación de Artículo 188E. Amenazas contra defensores de Derechos Humanos y servidores públicos. El que por cualquier medio atemorice o amenace a una persona que ejerza actividades de promoción y protección de los derechos humanos, o a sus familiares, por medio de la cual se fortalecen la investigación y judicialización de organizaciones criminales, se adoptan medidas para su sujeción a la justicia y se dictan otras Art 9o. Adiciónese el artículo 188E a la Ley 599 de 2000, el cual quedará así: Artículo 188E. Amenazas contra defensores de Derechos Humanos y servidores públicos. El que por cualquier medio atemorice o amenace a una persona que ejerza actividades de promoción y protección de los derechos humanos, o a sus familiares, disposiciones.?
4. ¿Se ha socializado el contenido de Artículo 188E. Amenazas contra defensores de Derechos Humanos y servidores públicos. El que por cualquier medio atemorice o amenace a una persona que ejerza actividades de promoción y protección de los derechos humanos, o a sus familiares, por medio de la cual se fortalecen la investigación y judicialización de organizaciones criminales, se adoptan medidas para su sujeción a la justicia y se dictan otras Art 9o. Adiciónese el artículo 188E a la Ley 599 de 2000, el cual quedará así: Artículo 188E. Amenazas contra defensores de Derechos Humanos y servidores públicos. El que por cualquier medio atemorice o amenace a una persona que ejerza actividades de promoción y protección de los derechos humanos, o a sus familiares, disposiciones. con los responsables de cada proceso y con los trabajadores cuando es pertinente?
5. ¿Se revisa periódicamente el cumplimiento de Artículo 188E. Amenazas contra defensores de Derechos Humanos y servidores públicos. El que por cualquier medio atemorice o amenace a una persona que ejerza actividades de promoción y protección de los derechos humanos, o a sus familiares, por medio de la cual se fortalecen la investigación y judicialización de organizaciones criminales, se adoptan medidas para su sujeción a la justicia y se dictan otras Art 9o. Adiciónese el artículo 188E a la Ley 599 de 2000, el cual quedará así: Artículo 188E. Amenazas contra defensores de Derechos Humanos y servidores públicos. El que por cualquier medio atemorice o amenace a una persona que ejerza actividades de promoción y protección de los derechos humanos, o a sus familiares, disposiciones. y se generan planes de acción cuando se identifican desviaciones?
6. ¿La matriz legal se mantiene actualizada frente a modificaciones, derogatorias o nuevas disposiciones relacionadas con Artículo 188E. Amenazas contra defensores de Derechos Humanos y servidores públicos. El que por cualquier medio atemorice o amenace a una persona que ejerza actividades de promoción y protección de los derechos humanos, o a sus familiares, por medio de la cual se fortalecen la investigación y judicialización de organizaciones criminales, se adoptan medidas para su sujeción a la justicia y se dictan otras Art 9o. Adiciónese el artículo 188E a la Ley 599 de 2000, el cual quedará así: Artículo 188E. Amenazas contra defensores de Derechos Humanos y servidores públicos. El que por cualquier medio atemorice o amenace a una persona que ejerza actividades de promoción y protección de los derechos humanos, o a sus familiares, disposiciones.?</t>
  </si>
  <si>
    <t>Carga dinámica ( esfuerzo)
Carga estática (Posturas)
Movimientos.
Manipulación  manual de cargas</t>
  </si>
  <si>
    <t>Resolución  2400 del 22-05 de 1979 Min trabajo Art.388 -  395 (excepto 391).  Se establecen los requisitos para identificar, evaluar los riesgos Ergonómicos asociados a la carga estática y así evitar problemas osteomusculares por levantamiento de cargas. 698 empujar o arrastrar cargas.</t>
  </si>
  <si>
    <t>1. ¿La empresa ha identificado los requisitos específicos de Resolución 2400 del 22-05 de 1979 Min trabajo Art.388 - 395 (excepto 391). Se establecen los requisitos para identificar, evaluar los riesgos Ergonómicos asociados a la carga estática y así evitar problemas osteomusculares por levantamiento de cargas. 698 empujar o arrastrar cargas. que aplican a su actividad económica y tamaño?
2. ¿Se dispone de procedimientos, instructivos o formatos que permitan cumplir con las exigencias técnicas y administrativas de Resolución 2400 del 22-05 de 1979 Min trabajo Art.388 - 395 (excepto 391). Se establecen los requisitos para identificar, evaluar los riesgos Ergonómicos asociados a la carga estática y así evitar problemas osteomusculares por levantamiento de cargas. 698 empujar o arrastrar cargas.?
3. ¿Existen registros (informes, actas, listados, certificados, reportes en plataformas) que evidencien el cumplimiento de Resolución 2400 del 22-05 de 1979 Min trabajo Art.388 - 395 (excepto 391). Se establecen los requisitos para identificar, evaluar los riesgos Ergonómicos asociados a la carga estática y así evitar problemas osteomusculares por levantamiento de cargas. 698 empujar o arrastrar cargas.?
4. ¿Los responsables del SG-SST realizan seguimiento periódico a los ítems de Resolución 2400 del 22-05 de 1979 Min trabajo Art.388 - 395 (excepto 391). Se establecen los requisitos para identificar, evaluar los riesgos Ergonómicos asociados a la carga estática y así evitar problemas osteomusculares por levantamiento de cargas. 698 empujar o arrastrar cargas. incluidos en la matriz legal y documentan los resultados?
5. ¿Se han comunicado los requisitos de Resolución 2400 del 22-05 de 1979 Min trabajo Art.388 - 395 (excepto 391). Se establecen los requisitos para identificar, evaluar los riesgos Ergonómicos asociados a la carga estática y así evitar problemas osteomusculares por levantamiento de cargas. 698 empujar o arrastrar cargas. a los trabajadores, contratistas y proveedores que se ven impactados por esta norma?
6. ¿Las no conformidades asociadas al cumplimiento de Resolución 2400 del 22-05 de 1979 Min trabajo Art.388 - 395 (excepto 391). Se establecen los requisitos para identificar, evaluar los riesgos Ergonómicos asociados a la carga estática y así evitar problemas osteomusculares por levantamiento de cargas. 698 empujar o arrastrar cargas. generan acciones correctivas o de mejora con responsables y fechas definidas?</t>
  </si>
  <si>
    <t>Art. 37 y 701 i). Requisitos para trabajar con posturas adecuada</t>
  </si>
  <si>
    <t>1. ¿La empresa ha registrado en la matriz legal las obligaciones derivadas de Art. 37 y 701 i). Requisitos para trabajar con posturas adecuada y ha definido su aplicabilidad?
2. ¿Los procedimientos y controles del SG-SST contemplan lo establecido en Art. 37 y 701 i). Requisitos para trabajar con posturas adecuada para las actividades y procesos de la organización?
3. ¿Existe evidencia documental (registros, informes, actas, comunicaciones) que demuestre la aplicación de Art. 37 y 701 i). Requisitos para trabajar con posturas adecuada?
4. ¿Se ha socializado el contenido de Art. 37 y 701 i). Requisitos para trabajar con posturas adecuada con los responsables de cada proceso y con los trabajadores cuando es pertinente?
5. ¿Se revisa periódicamente el cumplimiento de Art. 37 y 701 i). Requisitos para trabajar con posturas adecuada y se generan planes de acción cuando se identifican desviaciones?
6. ¿La matriz legal se mantiene actualizada frente a modificaciones, derogatorias o nuevas disposiciones relacionadas con Art. 37 y 701 i). Requisitos para trabajar con posturas adecuada?</t>
  </si>
  <si>
    <t>Decisión 584 de 2004 (art. 11c,k)</t>
  </si>
  <si>
    <t>1. ¿La empresa ha registrado en la matriz legal las obligaciones derivadas de Decisión 584 de 2004 (art. 11c,k) y ha definido su aplicabilidad?
2. ¿Los procedimientos y controles del SG-SST contemplan lo establecido en Decisión 584 de 2004 (art. 11c,k) para las actividades y procesos de la organización?
3. ¿Existe evidencia documental (registros, informes, actas, comunicaciones) que demuestre la aplicación de Decisión 584 de 2004 (art. 11c,k)?
4. ¿Se ha socializado el contenido de Decisión 584 de 2004 (art. 11c,k) con los responsables de cada proceso y con los trabajadores cuando es pertinente?
5. ¿Se revisa periódicamente el cumplimiento de Decisión 584 de 2004 (art. 11c,k) y se generan planes de acción cuando se identifican desviaciones?
6. ¿La matriz legal se mantiene actualizada frente a modificaciones, derogatorias o nuevas disposiciones relacionadas con Decisión 584 de 2004 (art. 11c,k)?</t>
  </si>
  <si>
    <t>Resolución 2844 de 2007 Art. 1b, Se describen los criterios para la vigilancia epidemiológica por movimientos repetitivos acoge las Guías de atención integral de Seguridad y Salud en el Trabajo (GATISST)</t>
  </si>
  <si>
    <t>1. ¿La empresa ha identificado los requisitos específicos de Resolución 2844 de 2007 Art. 1b, Se describen los criterios para la vigilancia epidemiológica por movimientos repetitivos acoge las Guías de atención integral de Seguridad y Salud en el Trabajo (GATISST) que aplican a su actividad económica y tamaño?
2. ¿Se dispone de procedimientos, instructivos o formatos que permitan cumplir con las exigencias técnicas y administrativas de Resolución 2844 de 2007 Art. 1b, Se describen los criterios para la vigilancia epidemiológica por movimientos repetitivos acoge las Guías de atención integral de Seguridad y Salud en el Trabajo (GATISST)?
3. ¿Existen registros (informes, actas, listados, certificados, reportes en plataformas) que evidencien el cumplimiento de Resolución 2844 de 2007 Art. 1b, Se describen los criterios para la vigilancia epidemiológica por movimientos repetitivos acoge las Guías de atención integral de Seguridad y Salud en el Trabajo (GATISST)?
4. ¿Los responsables del SG-SST realizan seguimiento periódico a los ítems de Resolución 2844 de 2007 Art. 1b, Se describen los criterios para la vigilancia epidemiológica por movimientos repetitivos acoge las Guías de atención integral de Seguridad y Salud en el Trabajo (GATISST) incluidos en la matriz legal y documentan los resultados?
5. ¿Se han comunicado los requisitos de Resolución 2844 de 2007 Art. 1b, Se describen los criterios para la vigilancia epidemiológica por movimientos repetitivos acoge las Guías de atención integral de Seguridad y Salud en el Trabajo (GATISST) a los trabajadores, contratistas y proveedores que se ven impactados por esta norma?
6. ¿Las no conformidades asociadas al cumplimiento de Resolución 2844 de 2007 Art. 1b, Se describen los criterios para la vigilancia epidemiológica por movimientos repetitivos acoge las Guías de atención integral de Seguridad y Salud en el Trabajo (GATISST) generan acciones correctivas o de mejora con responsables y fechas definidas?</t>
  </si>
  <si>
    <t>Decreto 1477 del 2014 tabla de Enfermedades Laborales.</t>
  </si>
  <si>
    <t>1. ¿El SG-SST incorpora los requisitos establecidos en Decreto 1477 del 2014 tabla de Enfermedades Laborales. dentro de sus procedimientos, estándares y controles operativos?
2. ¿Se cuenta con documentación actualizada (procedimientos, instructivos, protocolos) que evidencie la implementación de lo definido en Decreto 1477 del 2014 tabla de Enfermedades Laborales.?
3. ¿Se verifica de manera periódica el cumplimiento de Decreto 1477 del 2014 tabla de Enfermedades Laborales. en auditorías internas, inspecciones o revisiones de la matriz legal?
4. ¿Los responsables de cada proceso conocen las obligaciones derivadas de Decreto 1477 del 2014 tabla de Enfermedades Laborales. que les aplican y cuentan con los recursos para cumplirlas?
5. ¿Se conservan registros (informes, actas, listas de verificación, reportes) que demuestren la aplicación práctica de Decreto 1477 del 2014 tabla de Enfermedades Laborales. en la empresa?
6. ¿Las actualizaciones o derogatorias relacionadas con Decreto 1477 del 2014 tabla de Enfermedades Laborales. se reflejan oportunamente en la matriz legal y en los documentos del SG-SST?</t>
  </si>
  <si>
    <t xml:space="preserve">Ruido </t>
  </si>
  <si>
    <t xml:space="preserve">Resolución  2400 del 22-05 de 1979 Min trabajo Art.88 al 92 Se establecen criterios para el mantenimiento de equipos, mediciones presión sonora, dispositivos reducción ruido. Valores limites permisibles de nivel sonoro por zonas y por horarios. Restricciones de establecimientos industriales por sectores, vigilancia epidemiológica (Gatiso ruido), realización de audiometrías. </t>
  </si>
  <si>
    <t>1. ¿La empresa ha identificado los requisitos específicos de Resolución 2400 del 22-05 de 1979 Min trabajo Art.88 al 92 Se establecen criterios para el mantenimiento de equipos, mediciones presión sonora, dispositivos reducción ruido. Valores limites permisibles de nivel sonoro por zonas y por horarios. Restricciones de establecimientos industriales por sectores, vigilancia epidemiológica (Gatiso ruido), realización de audiometrías. que aplican a su actividad económica y tamaño?
2. ¿Se dispone de procedimientos, instructivos o formatos que permitan cumplir con las exigencias técnicas y administrativas de Resolución 2400 del 22-05 de 1979 Min trabajo Art.88 al 92 Se establecen criterios para el mantenimiento de equipos, mediciones presión sonora, dispositivos reducción ruido. Valores limites permisibles de nivel sonoro por zonas y por horarios. Restricciones de establecimientos industriales por sectores, vigilancia epidemiológica (Gatiso ruido), realización de audiometrías.?
3. ¿Existen registros (informes, actas, listados, certificados, reportes en plataformas) que evidencien el cumplimiento de Resolución 2400 del 22-05 de 1979 Min trabajo Art.88 al 92 Se establecen criterios para el mantenimiento de equipos, mediciones presión sonora, dispositivos reducción ruido. Valores limites permisibles de nivel sonoro por zonas y por horarios. Restricciones de establecimientos industriales por sectores, vigilancia epidemiológica (Gatiso ruido), realización de audiometrías.?
4. ¿Los responsables del SG-SST realizan seguimiento periódico a los ítems de Resolución 2400 del 22-05 de 1979 Min trabajo Art.88 al 92 Se establecen criterios para el mantenimiento de equipos, mediciones presión sonora, dispositivos reducción ruido. Valores limites permisibles de nivel sonoro por zonas y por horarios. Restricciones de establecimientos industriales por sectores, vigilancia epidemiológica (Gatiso ruido), realización de audiometrías. incluidos en la matriz legal y documentan los resultados?
5. ¿Se han comunicado los requisitos de Resolución 2400 del 22-05 de 1979 Min trabajo Art.88 al 92 Se establecen criterios para el mantenimiento de equipos, mediciones presión sonora, dispositivos reducción ruido. Valores limites permisibles de nivel sonoro por zonas y por horarios. Restricciones de establecimientos industriales por sectores, vigilancia epidemiológica (Gatiso ruido), realización de audiometrías. a los trabajadores, contratistas y proveedores que se ven impactados por esta norma?
6. ¿Las no conformidades asociadas al cumplimiento de Resolución 2400 del 22-05 de 1979 Min trabajo Art.88 al 92 Se establecen criterios para el mantenimiento de equipos, mediciones presión sonora, dispositivos reducción ruido. Valores limites permisibles de nivel sonoro por zonas y por horarios. Restricciones de establecimientos industriales por sectores, vigilancia epidemiológica (Gatiso ruido), realización de audiometrías. generan acciones correctivas o de mejora con responsables y fechas definidas?</t>
  </si>
  <si>
    <t>Ley 8321 de 1983</t>
  </si>
  <si>
    <t>1. ¿La empresa ha identificado y documentado en la matriz legal las obligaciones derivadas de Ley 8321 de 1983 y su relación con el SG-SST?
2. ¿Las políticas, procedimientos y programas del SG-SST incorporan de forma explícita los lineamientos establecidos en Ley 8321 de 1983?
3. ¿Existe evidencia documental (actas, comunicaciones, registros, contratos, entre otros) que demuestre la aplicación de Ley 8321 de 1983 en la organización?
4. ¿Se ha socializado con trabajadores, líderes y responsables del SG-SST el contenido y alcance de Ley 8321 de 1983 y sus implicaciones en seguridad y salud en el trabajo?
5. ¿Se realiza seguimiento periódico al cumplimiento de Ley 8321 de 1983, dejando soportes de las revisiones y acciones de mejora cuando se identifican brechas?
6. ¿Los cambios o reformas a Ley 8321 de 1983 se registran oportunamente en la matriz legal y se comunican a los procesos impactados?</t>
  </si>
  <si>
    <t>Resolución 2844 de 2007 (gatiso ruido)</t>
  </si>
  <si>
    <t>1. ¿La empresa ha identificado los requisitos específicos de Resolución 2844 de 2007 (gatiso ruido) que aplican a su actividad económica y tamaño?
2. ¿Se dispone de procedimientos, instructivos o formatos que permitan cumplir con las exigencias técnicas y administrativas de Resolución 2844 de 2007 (gatiso ruido)?
3. ¿Existen registros (informes, actas, listados, certificados, reportes en plataformas) que evidencien el cumplimiento de Resolución 2844 de 2007 (gatiso ruido)?
4. ¿Los responsables del SG-SST realizan seguimiento periódico a los ítems de Resolución 2844 de 2007 (gatiso ruido) incluidos en la matriz legal y documentan los resultados?
5. ¿Se han comunicado los requisitos de Resolución 2844 de 2007 (gatiso ruido) a los trabajadores, contratistas y proveedores que se ven impactados por esta norma?
6. ¿Las no conformidades asociadas al cumplimiento de Resolución 2844 de 2007 (gatiso ruido) generan acciones correctivas o de mejora con responsables y fechas definidas?</t>
  </si>
  <si>
    <t>Decreto 948 de 1995 (Art.47,48,5).</t>
  </si>
  <si>
    <t>1. ¿El SG-SST incorpora los requisitos establecidos en Decreto 948 de 1995 (Art.47,48,5). dentro de sus procedimientos, estándares y controles operativos?
2. ¿Se cuenta con documentación actualizada (procedimientos, instructivos, protocolos) que evidencie la implementación de lo definido en Decreto 948 de 1995 (Art.47,48,5).?
3. ¿Se verifica de manera periódica el cumplimiento de Decreto 948 de 1995 (Art.47,48,5). en auditorías internas, inspecciones o revisiones de la matriz legal?
4. ¿Los responsables de cada proceso conocen las obligaciones derivadas de Decreto 948 de 1995 (Art.47,48,5). que les aplican y cuentan con los recursos para cumplirlas?
5. ¿Se conservan registros (informes, actas, listas de verificación, reportes) que demuestren la aplicación práctica de Decreto 948 de 1995 (Art.47,48,5). en la empresa?
6. ¿Las actualizaciones o derogatorias relacionadas con Decreto 948 de 1995 (Art.47,48,5). se reflejan oportunamente en la matriz legal y en los documentos del SG-SST?</t>
  </si>
  <si>
    <t>Resolución 1792 de 1990 (Art. 1).</t>
  </si>
  <si>
    <t>1. ¿La empresa ha identificado los requisitos específicos de Resolución 1792 de 1990 (Art. 1). que aplican a su actividad económica y tamaño?
2. ¿Se dispone de procedimientos, instructivos o formatos que permitan cumplir con las exigencias técnicas y administrativas de Resolución 1792 de 1990 (Art. 1).?
3. ¿Existen registros (informes, actas, listados, certificados, reportes en plataformas) que evidencien el cumplimiento de Resolución 1792 de 1990 (Art. 1).?
4. ¿Los responsables del SG-SST realizan seguimiento periódico a los ítems de Resolución 1792 de 1990 (Art. 1). incluidos en la matriz legal y documentan los resultados?
5. ¿Se han comunicado los requisitos de Resolución 1792 de 1990 (Art. 1). a los trabajadores, contratistas y proveedores que se ven impactados por esta norma?
6. ¿Las no conformidades asociadas al cumplimiento de Resolución 1792 de 1990 (Art. 1). generan acciones correctivas o de mejora con responsables y fechas definidas?</t>
  </si>
  <si>
    <t xml:space="preserve">R. Dto. 1477 del 2014 tabla de Enfermedades Laborales. </t>
  </si>
  <si>
    <t>1. ¿La empresa ha registrado en la matriz legal las obligaciones derivadas de R. Dto. 1477 del 2014 tabla de Enfermedades Laborales. y ha definido su aplicabilidad?
2. ¿Los procedimientos y controles del SG-SST contemplan lo establecido en R. Dto. 1477 del 2014 tabla de Enfermedades Laborales. para las actividades y procesos de la organización?
3. ¿Existe evidencia documental (registros, informes, actas, comunicaciones) que demuestre la aplicación de R. Dto. 1477 del 2014 tabla de Enfermedades Laborales.?
4. ¿Se ha socializado el contenido de R. Dto. 1477 del 2014 tabla de Enfermedades Laborales. con los responsables de cada proceso y con los trabajadores cuando es pertinente?
5. ¿Se revisa periódicamente el cumplimiento de R. Dto. 1477 del 2014 tabla de Enfermedades Laborales. y se generan planes de acción cuando se identifican desviaciones?
6. ¿La matriz legal se mantiene actualizada frente a modificaciones, derogatorias o nuevas disposiciones relacionadas con R. Dto. 1477 del 2014 tabla de Enfermedades Laborales.?</t>
  </si>
  <si>
    <t>D. 1072/15 art. 2.2.4.6.15, 23 y 24</t>
  </si>
  <si>
    <t>1. ¿El SG-SST incorpora los requisitos establecidos en D. 1072/15 art. 2.2.4.6.15, 23 y 24 dentro de sus procedimientos, estándares y controles operativos?
2. ¿Se cuenta con documentación actualizada (procedimientos, instructivos, protocolos) que evidencie la implementación de lo definido en D. 1072/15 art. 2.2.4.6.15, 23 y 24?
3. ¿Se verifica de manera periódica el cumplimiento de D. 1072/15 art. 2.2.4.6.15, 23 y 24 en auditorías internas, inspecciones o revisiones de la matriz legal?
4. ¿Los responsables de cada proceso conocen las obligaciones derivadas de D. 1072/15 art. 2.2.4.6.15, 23 y 24 que les aplican y cuentan con los recursos para cumplirlas?
5. ¿Se conservan registros (informes, actas, listas de verificación, reportes) que demuestren la aplicación práctica de D. 1072/15 art. 2.2.4.6.15, 23 y 24 en la empresa?
6. ¿Las actualizaciones o derogatorias relacionadas con D. 1072/15 art. 2.2.4.6.15, 23 y 24 se reflejan oportunamente en la matriz legal y en los documentos del SG-SST?</t>
  </si>
  <si>
    <t>Vibraciones</t>
  </si>
  <si>
    <t>Resolución  2400 del 22-05 de 1979 Min trabajo Art.93 al 96 Se establecen criterios para el control del riesgo, medición de vibraciones , dispositivos reducción de las vibraciones. vigilancia epidemiológica (Gatiso ruido y vibraciones), realización de evaluaciones médicas.  D. 1072/15 art. 2.2.4.6.15, 23 y 24</t>
  </si>
  <si>
    <t>1. ¿La empresa ha identificado los requisitos específicos de Resolución 2400 del 22-05 de 1979 Min trabajo Art.93 al 96 Se establecen criterios para el control del riesgo, medición de vibraciones , dispositivos reducción de las vibraciones. vigilancia epidemiológica (Gatiso ruido y vibraciones), realización de evaluaciones médicas. D. 1072/15 art. 2.2.4.6.15, 23 y 24 que aplican a su actividad económica y tamaño?
2. ¿Se dispone de procedimientos, instructivos o formatos que permitan cumplir con las exigencias técnicas y administrativas de Resolución 2400 del 22-05 de 1979 Min trabajo Art.93 al 96 Se establecen criterios para el control del riesgo, medición de vibraciones , dispositivos reducción de las vibraciones. vigilancia epidemiológica (Gatiso ruido y vibraciones), realización de evaluaciones médicas. D. 1072/15 art. 2.2.4.6.15, 23 y 24?
3. ¿Existen registros (informes, actas, listados, certificados, reportes en plataformas) que evidencien el cumplimiento de Resolución 2400 del 22-05 de 1979 Min trabajo Art.93 al 96 Se establecen criterios para el control del riesgo, medición de vibraciones , dispositivos reducción de las vibraciones. vigilancia epidemiológica (Gatiso ruido y vibraciones), realización de evaluaciones médicas. D. 1072/15 art. 2.2.4.6.15, 23 y 24?
4. ¿Los responsables del SG-SST realizan seguimiento periódico a los ítems de Resolución 2400 del 22-05 de 1979 Min trabajo Art.93 al 96 Se establecen criterios para el control del riesgo, medición de vibraciones , dispositivos reducción de las vibraciones. vigilancia epidemiológica (Gatiso ruido y vibraciones), realización de evaluaciones médicas. D. 1072/15 art. 2.2.4.6.15, 23 y 24 incluidos en la matriz legal y documentan los resultados?
5. ¿Se han comunicado los requisitos de Resolución 2400 del 22-05 de 1979 Min trabajo Art.93 al 96 Se establecen criterios para el control del riesgo, medición de vibraciones , dispositivos reducción de las vibraciones. vigilancia epidemiológica (Gatiso ruido y vibraciones), realización de evaluaciones médicas. D. 1072/15 art. 2.2.4.6.15, 23 y 24 a los trabajadores, contratistas y proveedores que se ven impactados por esta norma?
6. ¿Las no conformidades asociadas al cumplimiento de Resolución 2400 del 22-05 de 1979 Min trabajo Art.93 al 96 Se establecen criterios para el control del riesgo, medición de vibraciones , dispositivos reducción de las vibraciones. vigilancia epidemiológica (Gatiso ruido y vibraciones), realización de evaluaciones médicas. D. 1072/15 art. 2.2.4.6.15, 23 y 24 generan acciones correctivas o de mejora con responsables y fechas definidas?</t>
  </si>
  <si>
    <t>Validar SVE vibraciones</t>
  </si>
  <si>
    <t>Ambiente térmico</t>
  </si>
  <si>
    <t>Resolución  2400 del 22-05 de 1979 Min trabajo Art. 7, 63-69, Se establecen condiciones de temperatura y humedad adecuadas, dispositivos para reflexión y aislamiento del calor, pausas o relevos periódicos, medición del ambiente térmico, suministro de duchas y agua potable, controles para regular temperatura.</t>
  </si>
  <si>
    <t>1. ¿La empresa ha identificado los requisitos específicos de Resolución 2400 del 22-05 de 1979 Min trabajo Art. 7, 63-69, Se establecen condiciones de temperatura y humedad adecuadas, dispositivos para reflexión y aislamiento del calor, pausas o relevos periódicos, medición del ambiente térmico, suministro de duchas y agua potable, controles para regular temperatura. que aplican a su actividad económica y tamaño?
2. ¿Se dispone de procedimientos, instructivos o formatos que permitan cumplir con las exigencias técnicas y administrativas de Resolución 2400 del 22-05 de 1979 Min trabajo Art. 7, 63-69, Se establecen condiciones de temperatura y humedad adecuadas, dispositivos para reflexión y aislamiento del calor, pausas o relevos periódicos, medición del ambiente térmico, suministro de duchas y agua potable, controles para regular temperatura.?
3. ¿Existen registros (informes, actas, listados, certificados, reportes en plataformas) que evidencien el cumplimiento de Resolución 2400 del 22-05 de 1979 Min trabajo Art. 7, 63-69, Se establecen condiciones de temperatura y humedad adecuadas, dispositivos para reflexión y aislamiento del calor, pausas o relevos periódicos, medición del ambiente térmico, suministro de duchas y agua potable, controles para regular temperatura.?
4. ¿Los responsables del SG-SST realizan seguimiento periódico a los ítems de Resolución 2400 del 22-05 de 1979 Min trabajo Art. 7, 63-69, Se establecen condiciones de temperatura y humedad adecuadas, dispositivos para reflexión y aislamiento del calor, pausas o relevos periódicos, medición del ambiente térmico, suministro de duchas y agua potable, controles para regular temperatura. incluidos en la matriz legal y documentan los resultados?
5. ¿Se han comunicado los requisitos de Resolución 2400 del 22-05 de 1979 Min trabajo Art. 7, 63-69, Se establecen condiciones de temperatura y humedad adecuadas, dispositivos para reflexión y aislamiento del calor, pausas o relevos periódicos, medición del ambiente térmico, suministro de duchas y agua potable, controles para regular temperatura. a los trabajadores, contratistas y proveedores que se ven impactados por esta norma?
6. ¿Las no conformidades asociadas al cumplimiento de Resolución 2400 del 22-05 de 1979 Min trabajo Art. 7, 63-69, Se establecen condiciones de temperatura y humedad adecuadas, dispositivos para reflexión y aislamiento del calor, pausas o relevos periódicos, medición del ambiente térmico, suministro de duchas y agua potable, controles para regular temperatura. generan acciones correctivas o de mejora con responsables y fechas definidas?</t>
  </si>
  <si>
    <t>Complementar, validar cumplimiento criterios color rojo</t>
  </si>
  <si>
    <t>Ley 9 de 1979 (art. 107-109)</t>
  </si>
  <si>
    <t>1. ¿La empresa ha identificado y documentado en la matriz legal las obligaciones derivadas de Ley 9 de 1979 (art. 107-109) y su relación con el SG-SST?
2. ¿Las políticas, procedimientos y programas del SG-SST incorporan de forma explícita los lineamientos establecidos en Ley 9 de 1979 (art. 107-109)?
3. ¿Existe evidencia documental (actas, comunicaciones, registros, contratos, entre otros) que demuestre la aplicación de Ley 9 de 1979 (art. 107-109) en la organización?
4. ¿Se ha socializado con trabajadores, líderes y responsables del SG-SST el contenido y alcance de Ley 9 de 1979 (art. 107-109) y sus implicaciones en seguridad y salud en el trabajo?
5. ¿Se realiza seguimiento periódico al cumplimiento de Ley 9 de 1979 (art. 107-109), dejando soportes de las revisiones y acciones de mejora cuando se identifican brechas?
6. ¿Los cambios o reformas a Ley 9 de 1979 (art. 107-109) se registran oportunamente en la matriz legal y se comunican a los procesos impactados?</t>
  </si>
  <si>
    <t>Resolución 1857 del 27-05-2024 Min trabajo Requisitos mínimos en SST para trabajos en calderas art 67</t>
  </si>
  <si>
    <t>1. ¿La empresa ha identificado los requisitos específicos de Resolución 1857 del 27-05-2024 Min trabajo Requisitos mínimos en SST para trabajos en calderas art 67 que aplican a su actividad económica y tamaño?
2. ¿Se dispone de procedimientos, instructivos o formatos que permitan cumplir con las exigencias técnicas y administrativas de Resolución 1857 del 27-05-2024 Min trabajo Requisitos mínimos en SST para trabajos en calderas art 67?
3. ¿Existen registros (informes, actas, listados, certificados, reportes en plataformas) que evidencien el cumplimiento de Resolución 1857 del 27-05-2024 Min trabajo Requisitos mínimos en SST para trabajos en calderas art 67?
4. ¿Los responsables del SG-SST realizan seguimiento periódico a los ítems de Resolución 1857 del 27-05-2024 Min trabajo Requisitos mínimos en SST para trabajos en calderas art 67 incluidos en la matriz legal y documentan los resultados?
5. ¿Se han comunicado los requisitos de Resolución 1857 del 27-05-2024 Min trabajo Requisitos mínimos en SST para trabajos en calderas art 67 a los trabajadores, contratistas y proveedores que se ven impactados por esta norma?
6. ¿Las no conformidades asociadas al cumplimiento de Resolución 1857 del 27-05-2024 Min trabajo Requisitos mínimos en SST para trabajos en calderas art 67 generan acciones correctivas o de mejora con responsables y fechas definidas?</t>
  </si>
  <si>
    <t>Iluminación</t>
  </si>
  <si>
    <t>Resolución  2400 del 22-05 de 1979 Min trabajo Art 7, 79- 83, 87  Todos  los  lugares  de  trabajo  tendrán  la  iluminación  adecuada  e indispensable  de  acuerdo  a  la  clase  de  labor  que  se  realice, iluminación podrá ser natural o artificial, o de ambos tipos, evitar reflexión de luz, mayor iluminación para los lugares con mayor riesgo de accidente. Limpieza permanente a medios de trasluz. Evitar sombras y contrastes violentos. Sistemas de iluminación específica para emergencias.  Norma Asociada a este riesgo(Resolución 181568/01/sep./de 2010 Retilap 1568_01_sep_de_2010_retilap y su anexo.). - Resolución 90980 del 2013 retilap, R. 40122 de 2016  D. 1072/15 art. 2.2.4.6.15, 23 y 24, R. 40176 del 2-02-2023. MinMinas, por la cual se amplia el RETILAP</t>
  </si>
  <si>
    <t>1. ¿La empresa ha identificado los requisitos específicos de Resolución 2400 del 22-05 de 1979 Min trabajo Art 7, 79- 83, 87 Todos los lugares de trabajo tendrán la iluminación adecuada e indispensable de acuerdo a la clase de labor que se realice, iluminación podrá ser natural o artificial, o de ambos tipos, evitar reflexión de luz, mayor iluminación para los lugares con mayor riesgo de accidente. Limpieza permanente a medios de trasluz. Evitar sombras y contrastes violentos. Sistemas de iluminación específica para emergencias. Norma Asociada a este riesgo(Resolución 181568/01/sep./de 2010 Retilap 1568_01_sep_de_2010_retilap y su anexo.). - Resolución 90980 del 2013 retilap, R. 40122 de 2016 D. 1072/15 art. 2.2.4.6.15, 23 y 24, R. 40176 del 2-02-2023. MinMinas, por la cual se amplia el RETILAP que aplican a su actividad económica y tamaño?
2. ¿Se dispone de procedimientos, instructivos o formatos que permitan cumplir con las exigencias técnicas y administrativas de Resolución 2400 del 22-05 de 1979 Min trabajo Art 7, 79- 83, 87 Todos los lugares de trabajo tendrán la iluminación adecuada e indispensable de acuerdo a la clase de labor que se realice, iluminación podrá ser natural o artificial, o de ambos tipos, evitar reflexión de luz, mayor iluminación para los lugares con mayor riesgo de accidente. Limpieza permanente a medios de trasluz. Evitar sombras y contrastes violentos. Sistemas de iluminación específica para emergencias. Norma Asociada a este riesgo(Resolución 181568/01/sep./de 2010 Retilap 1568_01_sep_de_2010_retilap y su anexo.). - Resolución 90980 del 2013 retilap, R. 40122 de 2016 D. 1072/15 art. 2.2.4.6.15, 23 y 24, R. 40176 del 2-02-2023. MinMinas, por la cual se amplia el RETILAP?
3. ¿Existen registros (informes, actas, listados, certificados, reportes en plataformas) que evidencien el cumplimiento de Resolución 2400 del 22-05 de 1979 Min trabajo Art 7, 79- 83, 87 Todos los lugares de trabajo tendrán la iluminación adecuada e indispensable de acuerdo a la clase de labor que se realice, iluminación podrá ser natural o artificial, o de ambos tipos, evitar reflexión de luz, mayor iluminación para los lugares con mayor riesgo de accidente. Limpieza permanente a medios de trasluz. Evitar sombras y contrastes violentos. Sistemas de iluminación específica para emergencias. Norma Asociada a este riesgo(Resolución 181568/01/sep./de 2010 Retilap 1568_01_sep_de_2010_retilap y su anexo.). - Resolución 90980 del 2013 retilap, R. 40122 de 2016 D. 1072/15 art. 2.2.4.6.15, 23 y 24, R. 40176 del 2-02-2023. MinMinas, por la cual se amplia el RETILAP?
4. ¿Los responsables del SG-SST realizan seguimiento periódico a los ítems de Resolución 2400 del 22-05 de 1979 Min trabajo Art 7, 79- 83, 87 Todos los lugares de trabajo tendrán la iluminación adecuada e indispensable de acuerdo a la clase de labor que se realice, iluminación podrá ser natural o artificial, o de ambos tipos, evitar reflexión de luz, mayor iluminación para los lugares con mayor riesgo de accidente. Limpieza permanente a medios de trasluz. Evitar sombras y contrastes violentos. Sistemas de iluminación específica para emergencias. Norma Asociada a este riesgo(Resolución 181568/01/sep./de 2010 Retilap 1568_01_sep_de_2010_retilap y su anexo.). - Resolución 90980 del 2013 retilap, R. 40122 de 2016 D. 1072/15 art. 2.2.4.6.15, 23 y 24, R. 40176 del 2-02-2023. MinMinas, por la cual se amplia el RETILAP incluidos en la matriz legal y documentan los resultados?
5. ¿Se han comunicado los requisitos de Resolución 2400 del 22-05 de 1979 Min trabajo Art 7, 79- 83, 87 Todos los lugares de trabajo tendrán la iluminación adecuada e indispensable de acuerdo a la clase de labor que se realice, iluminación podrá ser natural o artificial, o de ambos tipos, evitar reflexión de luz, mayor iluminación para los lugares con mayor riesgo de accidente. Limpieza permanente a medios de trasluz. Evitar sombras y contrastes violentos. Sistemas de iluminación específica para emergencias. Norma Asociada a este riesgo(Resolución 181568/01/sep./de 2010 Retilap 1568_01_sep_de_2010_retilap y su anexo.). - Resolución 90980 del 2013 retilap, R. 40122 de 2016 D. 1072/15 art. 2.2.4.6.15, 23 y 24, R. 40176 del 2-02-2023. MinMinas, por la cual se amplia el RETILAP a los trabajadores, contratistas y proveedores que se ven impactados por esta norma?
6. ¿Las no conformidades asociadas al cumplimiento de Resolución 2400 del 22-05 de 1979 Min trabajo Art 7, 79- 83, 87 Todos los lugares de trabajo tendrán la iluminación adecuada e indispensable de acuerdo a la clase de labor que se realice, iluminación podrá ser natural o artificial, o de ambos tipos, evitar reflexión de luz, mayor iluminación para los lugares con mayor riesgo de accidente. Limpieza permanente a medios de trasluz. Evitar sombras y contrastes violentos. Sistemas de iluminación específica para emergencias. Norma Asociada a este riesgo(Resolución 181568/01/sep./de 2010 Retilap 1568_01_sep_de_2010_retilap y su anexo.). - Resolución 90980 del 2013 retilap, R. 40122 de 2016 D. 1072/15 art. 2.2.4.6.15, 23 y 24, R. 40176 del 2-02-2023. MinMinas, por la cual se amplia el RETILAP generan acciones correctivas o de mejora con responsables y fechas definidas?</t>
  </si>
  <si>
    <t>(Resolución 181568/01/sep./de 2010 Retilap 1568_01_sep_de_2010_retilap y su anexo.)</t>
  </si>
  <si>
    <t>1. ¿La empresa ha registrado en la matriz legal las obligaciones derivadas de (Resolución 181568/01/sep./de 2010 Retilap 1568_01_sep_de_2010_retilap y su anexo.) y ha definido su aplicabilidad?
2. ¿Los procedimientos y controles del SG-SST contemplan lo establecido en (Resolución 181568/01/sep./de 2010 Retilap 1568_01_sep_de_2010_retilap y su anexo.) para las actividades y procesos de la organización?
3. ¿Existe evidencia documental (registros, informes, actas, comunicaciones) que demuestre la aplicación de (Resolución 181568/01/sep./de 2010 Retilap 1568_01_sep_de_2010_retilap y su anexo.)?
4. ¿Se ha socializado el contenido de (Resolución 181568/01/sep./de 2010 Retilap 1568_01_sep_de_2010_retilap y su anexo.) con los responsables de cada proceso y con los trabajadores cuando es pertinente?
5. ¿Se revisa periódicamente el cumplimiento de (Resolución 181568/01/sep./de 2010 Retilap 1568_01_sep_de_2010_retilap y su anexo.) y se generan planes de acción cuando se identifican desviaciones?
6. ¿La matriz legal se mantiene actualizada frente a modificaciones, derogatorias o nuevas disposiciones relacionadas con (Resolución 181568/01/sep./de 2010 Retilap 1568_01_sep_de_2010_retilap y su anexo.)?</t>
  </si>
  <si>
    <t>Resolución 90980 del 2013 retilap, R. 40122 de 2016  D. 1072/15 art. 2.2.4.6.15, 23 y 24, R. 40176 del 2-02-2023. MinMinas, por la cual se amplia el RETILAP</t>
  </si>
  <si>
    <t>1. ¿La empresa ha identificado los requisitos específicos de Resolución 90980 del 2013 retilap, R. 40122 de 2016 D. 1072/15 art. 2.2.4.6.15, 23 y 24, R. 40176 del 2-02-2023. MinMinas, por la cual se amplia el RETILAP que aplican a su actividad económica y tamaño?
2. ¿Se dispone de procedimientos, instructivos o formatos que permitan cumplir con las exigencias técnicas y administrativas de Resolución 90980 del 2013 retilap, R. 40122 de 2016 D. 1072/15 art. 2.2.4.6.15, 23 y 24, R. 40176 del 2-02-2023. MinMinas, por la cual se amplia el RETILAP?
3. ¿Existen registros (informes, actas, listados, certificados, reportes en plataformas) que evidencien el cumplimiento de Resolución 90980 del 2013 retilap, R. 40122 de 2016 D. 1072/15 art. 2.2.4.6.15, 23 y 24, R. 40176 del 2-02-2023. MinMinas, por la cual se amplia el RETILAP?
4. ¿Los responsables del SG-SST realizan seguimiento periódico a los ítems de Resolución 90980 del 2013 retilap, R. 40122 de 2016 D. 1072/15 art. 2.2.4.6.15, 23 y 24, R. 40176 del 2-02-2023. MinMinas, por la cual se amplia el RETILAP incluidos en la matriz legal y documentan los resultados?
5. ¿Se han comunicado los requisitos de Resolución 90980 del 2013 retilap, R. 40122 de 2016 D. 1072/15 art. 2.2.4.6.15, 23 y 24, R. 40176 del 2-02-2023. MinMinas, por la cual se amplia el RETILAP a los trabajadores, contratistas y proveedores que se ven impactados por esta norma?
6. ¿Las no conformidades asociadas al cumplimiento de Resolución 90980 del 2013 retilap, R. 40122 de 2016 D. 1072/15 art. 2.2.4.6.15, 23 y 24, R. 40176 del 2-02-2023. MinMinas, por la cual se amplia el RETILAP generan acciones correctivas o de mejora con responsables y fechas definidas?</t>
  </si>
  <si>
    <t>R. 40122 de 2016  D. 1072/15 art. 2.2.4.6.15, 23 y 24</t>
  </si>
  <si>
    <t>1. ¿La empresa ha registrado en la matriz legal las obligaciones derivadas de R. 40122 de 2016 D. 1072/15 art. 2.2.4.6.15, 23 y 24 y ha definido su aplicabilidad?
2. ¿Los procedimientos y controles del SG-SST contemplan lo establecido en R. 40122 de 2016 D. 1072/15 art. 2.2.4.6.15, 23 y 24 para las actividades y procesos de la organización?
3. ¿Existe evidencia documental (registros, informes, actas, comunicaciones) que demuestre la aplicación de R. 40122 de 2016 D. 1072/15 art. 2.2.4.6.15, 23 y 24?
4. ¿Se ha socializado el contenido de R. 40122 de 2016 D. 1072/15 art. 2.2.4.6.15, 23 y 24 con los responsables de cada proceso y con los trabajadores cuando es pertinente?
5. ¿Se revisa periódicamente el cumplimiento de R. 40122 de 2016 D. 1072/15 art. 2.2.4.6.15, 23 y 24 y se generan planes de acción cuando se identifican desviaciones?
6. ¿La matriz legal se mantiene actualizada frente a modificaciones, derogatorias o nuevas disposiciones relacionadas con R. 40122 de 2016 D. 1072/15 art. 2.2.4.6.15, 23 y 24?</t>
  </si>
  <si>
    <t>R. 40176 del 2-02-2023. MinMinas, por la cual se amplia el RETILAP</t>
  </si>
  <si>
    <t>1. ¿La empresa ha registrado en la matriz legal las obligaciones derivadas de R. 40176 del 2-02-2023. MinMinas, por la cual se amplia el RETILAP y ha definido su aplicabilidad?
2. ¿Los procedimientos y controles del SG-SST contemplan lo establecido en R. 40176 del 2-02-2023. MinMinas, por la cual se amplia el RETILAP para las actividades y procesos de la organización?
3. ¿Existe evidencia documental (registros, informes, actas, comunicaciones) que demuestre la aplicación de R. 40176 del 2-02-2023. MinMinas, por la cual se amplia el RETILAP?
4. ¿Se ha socializado el contenido de R. 40176 del 2-02-2023. MinMinas, por la cual se amplia el RETILAP con los responsables de cada proceso y con los trabajadores cuando es pertinente?
5. ¿Se revisa periódicamente el cumplimiento de R. 40176 del 2-02-2023. MinMinas, por la cual se amplia el RETILAP y se generan planes de acción cuando se identifican desviaciones?
6. ¿La matriz legal se mantiene actualizada frente a modificaciones, derogatorias o nuevas disposiciones relacionadas con R. 40176 del 2-02-2023. MinMinas, por la cual se amplia el RETILAP?</t>
  </si>
  <si>
    <t>R.  4 0 1 5 0 del 3-05-2024 MinMinas modifica el Reglamento Técnico de Iluminación y Alumbrado Público - RETILAP</t>
  </si>
  <si>
    <t>1. ¿La empresa ha registrado en la matriz legal las obligaciones derivadas de R. 4 0 1 5 0 del 3-05-2024 MinMinas modifica el Reglamento Técnico de Iluminación y Alumbrado Público - RETILAP y ha definido su aplicabilidad?
2. ¿Los procedimientos y controles del SG-SST contemplan lo establecido en R. 4 0 1 5 0 del 3-05-2024 MinMinas modifica el Reglamento Técnico de Iluminación y Alumbrado Público - RETILAP para las actividades y procesos de la organización?
3. ¿Existe evidencia documental (registros, informes, actas, comunicaciones) que demuestre la aplicación de R. 4 0 1 5 0 del 3-05-2024 MinMinas modifica el Reglamento Técnico de Iluminación y Alumbrado Público - RETILAP?
4. ¿Se ha socializado el contenido de R. 4 0 1 5 0 del 3-05-2024 MinMinas modifica el Reglamento Técnico de Iluminación y Alumbrado Público - RETILAP con los responsables de cada proceso y con los trabajadores cuando es pertinente?
5. ¿Se revisa periódicamente el cumplimiento de R. 4 0 1 5 0 del 3-05-2024 MinMinas modifica el Reglamento Técnico de Iluminación y Alumbrado Público - RETILAP y se generan planes de acción cuando se identifican desviaciones?
6. ¿La matriz legal se mantiene actualizada frente a modificaciones, derogatorias o nuevas disposiciones relacionadas con R. 4 0 1 5 0 del 3-05-2024 MinMinas modifica el Reglamento Técnico de Iluminación y Alumbrado Público - RETILAP?</t>
  </si>
  <si>
    <t>Radiaciones no ionizantes</t>
  </si>
  <si>
    <t>Resolución  2400 del 22-05 de 1979 Min trabajo Art. 110,111 - 120 (Radiaciones no ionizantes: Ultravioleta, Infrarrojas y radiofrecuencia, y del 339, 521, 548-581 ,Cilindros de gases comprimidos, Soldadura eléctrica autógena y corte de metales, Aire comprimido)</t>
  </si>
  <si>
    <t>1. ¿La empresa ha identificado los requisitos específicos de Resolución 2400 del 22-05 de 1979 Min trabajo Art. 110,111 - 120 (Radiaciones no ionizantes: Ultravioleta, Infrarrojas y radiofrecuencia, y del 339, 521, 548-581 ,Cilindros de gases comprimidos, Soldadura eléctrica autógena y corte de metales, Aire comprimido) que aplican a su actividad económica y tamaño?
2. ¿Se dispone de procedimientos, instructivos o formatos que permitan cumplir con las exigencias técnicas y administrativas de Resolución 2400 del 22-05 de 1979 Min trabajo Art. 110,111 - 120 (Radiaciones no ionizantes: Ultravioleta, Infrarrojas y radiofrecuencia, y del 339, 521, 548-581 ,Cilindros de gases comprimidos, Soldadura eléctrica autógena y corte de metales, Aire comprimido)?
3. ¿Existen registros (informes, actas, listados, certificados, reportes en plataformas) que evidencien el cumplimiento de Resolución 2400 del 22-05 de 1979 Min trabajo Art. 110,111 - 120 (Radiaciones no ionizantes: Ultravioleta, Infrarrojas y radiofrecuencia, y del 339, 521, 548-581 ,Cilindros de gases comprimidos, Soldadura eléctrica autógena y corte de metales, Aire comprimido)?
4. ¿Los responsables del SG-SST realizan seguimiento periódico a los ítems de Resolución 2400 del 22-05 de 1979 Min trabajo Art. 110,111 - 120 (Radiaciones no ionizantes: Ultravioleta, Infrarrojas y radiofrecuencia, y del 339, 521, 548-581 ,Cilindros de gases comprimidos, Soldadura eléctrica autógena y corte de metales, Aire comprimido) incluidos en la matriz legal y documentan los resultados?
5. ¿Se han comunicado los requisitos de Resolución 2400 del 22-05 de 1979 Min trabajo Art. 110,111 - 120 (Radiaciones no ionizantes: Ultravioleta, Infrarrojas y radiofrecuencia, y del 339, 521, 548-581 ,Cilindros de gases comprimidos, Soldadura eléctrica autógena y corte de metales, Aire comprimido) a los trabajadores, contratistas y proveedores que se ven impactados por esta norma?
6. ¿Las no conformidades asociadas al cumplimiento de Resolución 2400 del 22-05 de 1979 Min trabajo Art. 110,111 - 120 (Radiaciones no ionizantes: Ultravioleta, Infrarrojas y radiofrecuencia, y del 339, 521, 548-581 ,Cilindros de gases comprimidos, Soldadura eléctrica autógena y corte de metales, Aire comprimido) generan acciones correctivas o de mejora con responsables y fechas definidas?</t>
  </si>
  <si>
    <t xml:space="preserve">Ley 9 de 1979 (Art. 149): Todas las formas de energía radiante, distinta de las radiaciones ionizantes que se originen en lugares de trabajo, deberán someterse a procedimientos de control para evitar niveles de exposición nocivos para la salud o eficiencia de los trabajadores. Cuando quiera que los medios de control ambiental no sean suficientes, se deberán aplicar las medidas de protección personal y de protección médica necesarias. Trabajos de soldadura. </t>
  </si>
  <si>
    <t>1. ¿La empresa ha identificado y documentado en la matriz legal las obligaciones derivadas de Ley 9 de 1979 (Art. 149): Todas las formas de energía radiante, distinta de las radiaciones ionizantes que se originen en lugares de trabajo, deberán someterse a procedimientos de control para evitar niveles de exposición nocivos para la salud o eficiencia de los trabajadores. Cuando quiera que los medios de control ambiental no sean suficientes, se deberán aplicar las medidas de protección personal y de protección médica necesarias. Trabajos de soldadura. y su relación con el SG-SST?
2. ¿Las políticas, procedimientos y programas del SG-SST incorporan de forma explícita los lineamientos establecidos en Ley 9 de 1979 (Art. 149): Todas las formas de energía radiante, distinta de las radiaciones ionizantes que se originen en lugares de trabajo, deberán someterse a procedimientos de control para evitar niveles de exposición nocivos para la salud o eficiencia de los trabajadores. Cuando quiera que los medios de control ambiental no sean suficientes, se deberán aplicar las medidas de protección personal y de protección médica necesarias. Trabajos de soldadura.?
3. ¿Existe evidencia documental (actas, comunicaciones, registros, contratos, entre otros) que demuestre la aplicación de Ley 9 de 1979 (Art. 149): Todas las formas de energía radiante, distinta de las radiaciones ionizantes que se originen en lugares de trabajo, deberán someterse a procedimientos de control para evitar niveles de exposición nocivos para la salud o eficiencia de los trabajadores. Cuando quiera que los medios de control ambiental no sean suficientes, se deberán aplicar las medidas de protección personal y de protección médica necesarias. Trabajos de soldadura. en la organización?
4. ¿Se ha socializado con trabajadores, líderes y responsables del SG-SST el contenido y alcance de Ley 9 de 1979 (Art. 149): Todas las formas de energía radiante, distinta de las radiaciones ionizantes que se originen en lugares de trabajo, deberán someterse a procedimientos de control para evitar niveles de exposición nocivos para la salud o eficiencia de los trabajadores. Cuando quiera que los medios de control ambiental no sean suficientes, se deberán aplicar las medidas de protección personal y de protección médica necesarias. Trabajos de soldadura. y sus implicaciones en seguridad y salud en el trabajo?
5. ¿Se realiza seguimiento periódico al cumplimiento de Ley 9 de 1979 (Art. 149): Todas las formas de energía radiante, distinta de las radiaciones ionizantes que se originen en lugares de trabajo, deberán someterse a procedimientos de control para evitar niveles de exposición nocivos para la salud o eficiencia de los trabajadores. Cuando quiera que los medios de control ambiental no sean suficientes, se deberán aplicar las medidas de protección personal y de protección médica necesarias. Trabajos de soldadura., dejando soportes de las revisiones y acciones de mejora cuando se identifican brechas?
6. ¿Los cambios o reformas a Ley 9 de 1979 (Art. 149): Todas las formas de energía radiante, distinta de las radiaciones ionizantes que se originen en lugares de trabajo, deberán someterse a procedimientos de control para evitar niveles de exposición nocivos para la salud o eficiencia de los trabajadores. Cuando quiera que los medios de control ambiental no sean suficientes, se deberán aplicar las medidas de protección personal y de protección médica necesarias. Trabajos de soldadura. se registran oportunamente en la matriz legal y se comunican a los procesos impactados?</t>
  </si>
  <si>
    <t>Radiaciones ionizantes</t>
  </si>
  <si>
    <t>Resolución  2400 del 22-05 de 1979 Min trabajo  Art. 97-109 Requisitos para la identificación, el control de equipos que emiten radiación ionizante, Ley 9/79 art. 151, 152, Resolución 9031/90, resolución 2003 de 2014, Resolución 482/18 Reglamenta uso y control de calidad de equipos generadores de RX, D. 1072/15 art. 2.2.4.6.15, 23 y 24</t>
  </si>
  <si>
    <t>1. ¿La empresa ha identificado los requisitos específicos de Resolución 2400 del 22-05 de 1979 Min trabajo Art. 97-109 Requisitos para la identificación, el control de equipos que emiten radiación ionizante, Ley 9/79 art. 151, 152, Resolución 9031/90, resolución 2003 de 2014, Resolución 482/18 Reglamenta uso y control de calidad de equipos generadores de RX, D. 1072/15 art. 2.2.4.6.15, 23 y 24 que aplican a su actividad económica y tamaño?
2. ¿Se dispone de procedimientos, instructivos o formatos que permitan cumplir con las exigencias técnicas y administrativas de Resolución 2400 del 22-05 de 1979 Min trabajo Art. 97-109 Requisitos para la identificación, el control de equipos que emiten radiación ionizante, Ley 9/79 art. 151, 152, Resolución 9031/90, resolución 2003 de 2014, Resolución 482/18 Reglamenta uso y control de calidad de equipos generadores de RX, D. 1072/15 art. 2.2.4.6.15, 23 y 24?
3. ¿Existen registros (informes, actas, listados, certificados, reportes en plataformas) que evidencien el cumplimiento de Resolución 2400 del 22-05 de 1979 Min trabajo Art. 97-109 Requisitos para la identificación, el control de equipos que emiten radiación ionizante, Ley 9/79 art. 151, 152, Resolución 9031/90, resolución 2003 de 2014, Resolución 482/18 Reglamenta uso y control de calidad de equipos generadores de RX, D. 1072/15 art. 2.2.4.6.15, 23 y 24?
4. ¿Los responsables del SG-SST realizan seguimiento periódico a los ítems de Resolución 2400 del 22-05 de 1979 Min trabajo Art. 97-109 Requisitos para la identificación, el control de equipos que emiten radiación ionizante, Ley 9/79 art. 151, 152, Resolución 9031/90, resolución 2003 de 2014, Resolución 482/18 Reglamenta uso y control de calidad de equipos generadores de RX, D. 1072/15 art. 2.2.4.6.15, 23 y 24 incluidos en la matriz legal y documentan los resultados?
5. ¿Se han comunicado los requisitos de Resolución 2400 del 22-05 de 1979 Min trabajo Art. 97-109 Requisitos para la identificación, el control de equipos que emiten radiación ionizante, Ley 9/79 art. 151, 152, Resolución 9031/90, resolución 2003 de 2014, Resolución 482/18 Reglamenta uso y control de calidad de equipos generadores de RX, D. 1072/15 art. 2.2.4.6.15, 23 y 24 a los trabajadores, contratistas y proveedores que se ven impactados por esta norma?
6. ¿Las no conformidades asociadas al cumplimiento de Resolución 2400 del 22-05 de 1979 Min trabajo Art. 97-109 Requisitos para la identificación, el control de equipos que emiten radiación ionizante, Ley 9/79 art. 151, 152, Resolución 9031/90, resolución 2003 de 2014, Resolución 482/18 Reglamenta uso y control de calidad de equipos generadores de RX, D. 1072/15 art. 2.2.4.6.15, 23 y 24 generan acciones correctivas o de mejora con responsables y fechas definidas?</t>
  </si>
  <si>
    <t>Ley 9/79 art. 151, 152</t>
  </si>
  <si>
    <t>1. ¿La empresa ha identificado y documentado en la matriz legal las obligaciones derivadas de Ley 9/79 art. 151, 152 y su relación con el SG-SST?
2. ¿Las políticas, procedimientos y programas del SG-SST incorporan de forma explícita los lineamientos establecidos en Ley 9/79 art. 151, 152?
3. ¿Existe evidencia documental (actas, comunicaciones, registros, contratos, entre otros) que demuestre la aplicación de Ley 9/79 art. 151, 152 en la organización?
4. ¿Se ha socializado con trabajadores, líderes y responsables del SG-SST el contenido y alcance de Ley 9/79 art. 151, 152 y sus implicaciones en seguridad y salud en el trabajo?
5. ¿Se realiza seguimiento periódico al cumplimiento de Ley 9/79 art. 151, 152, dejando soportes de las revisiones y acciones de mejora cuando se identifican brechas?
6. ¿Los cambios o reformas a Ley 9/79 art. 151, 152 se registran oportunamente en la matriz legal y se comunican a los procesos impactados?</t>
  </si>
  <si>
    <t>Resolución 9031/90</t>
  </si>
  <si>
    <t>1. ¿La empresa ha identificado los requisitos específicos de Resolución 9031/90 que aplican a su actividad económica y tamaño?
2. ¿Se dispone de procedimientos, instructivos o formatos que permitan cumplir con las exigencias técnicas y administrativas de Resolución 9031/90?
3. ¿Existen registros (informes, actas, listados, certificados, reportes en plataformas) que evidencien el cumplimiento de Resolución 9031/90?
4. ¿Los responsables del SG-SST realizan seguimiento periódico a los ítems de Resolución 9031/90 incluidos en la matriz legal y documentan los resultados?
5. ¿Se han comunicado los requisitos de Resolución 9031/90 a los trabajadores, contratistas y proveedores que se ven impactados por esta norma?
6. ¿Las no conformidades asociadas al cumplimiento de Resolución 9031/90 generan acciones correctivas o de mejora con responsables y fechas definidas?</t>
  </si>
  <si>
    <t>Resolución 2003 de 2014</t>
  </si>
  <si>
    <t>1. ¿La empresa ha identificado los requisitos específicos de Resolución 2003 de 2014 que aplican a su actividad económica y tamaño?
2. ¿Se dispone de procedimientos, instructivos o formatos que permitan cumplir con las exigencias técnicas y administrativas de Resolución 2003 de 2014?
3. ¿Existen registros (informes, actas, listados, certificados, reportes en plataformas) que evidencien el cumplimiento de Resolución 2003 de 2014?
4. ¿Los responsables del SG-SST realizan seguimiento periódico a los ítems de Resolución 2003 de 2014 incluidos en la matriz legal y documentan los resultados?
5. ¿Se han comunicado los requisitos de Resolución 2003 de 2014 a los trabajadores, contratistas y proveedores que se ven impactados por esta norma?
6. ¿Las no conformidades asociadas al cumplimiento de Resolución 2003 de 2014 generan acciones correctivas o de mejora con responsables y fechas definidas?</t>
  </si>
  <si>
    <t>Resolución 482/18 Reglamenta uso y control de calidad de equipos generadores de RX, D. 1072/15 art. 2.2.4.6.15, 23 y 24</t>
  </si>
  <si>
    <t>1. ¿La empresa ha identificado los requisitos específicos de Resolución 482/18 Reglamenta uso y control de calidad de equipos generadores de RX, D. 1072/15 art. 2.2.4.6.15, 23 y 24 que aplican a su actividad económica y tamaño?
2. ¿Se dispone de procedimientos, instructivos o formatos que permitan cumplir con las exigencias técnicas y administrativas de Resolución 482/18 Reglamenta uso y control de calidad de equipos generadores de RX, D. 1072/15 art. 2.2.4.6.15, 23 y 24?
3. ¿Existen registros (informes, actas, listados, certificados, reportes en plataformas) que evidencien el cumplimiento de Resolución 482/18 Reglamenta uso y control de calidad de equipos generadores de RX, D. 1072/15 art. 2.2.4.6.15, 23 y 24?
4. ¿Los responsables del SG-SST realizan seguimiento periódico a los ítems de Resolución 482/18 Reglamenta uso y control de calidad de equipos generadores de RX, D. 1072/15 art. 2.2.4.6.15, 23 y 24 incluidos en la matriz legal y documentan los resultados?
5. ¿Se han comunicado los requisitos de Resolución 482/18 Reglamenta uso y control de calidad de equipos generadores de RX, D. 1072/15 art. 2.2.4.6.15, 23 y 24 a los trabajadores, contratistas y proveedores que se ven impactados por esta norma?
6. ¿Las no conformidades asociadas al cumplimiento de Resolución 482/18 Reglamenta uso y control de calidad de equipos generadores de RX, D. 1072/15 art. 2.2.4.6.15, 23 y 24 generan acciones correctivas o de mejora con responsables y fechas definidas?</t>
  </si>
  <si>
    <t>Gestión organizacional (estilo de mando, pago,  contratación,  participación, inducción  y  capacitación,  bienestar social,  evaluación  del   desempeño, manejo de cambios) 
comunicación,  tecnología, organización del trabajo, demandas cualitativas y cuantitativas de la labor.
carga  mental, contenido  de    la    tarea,    demandas emocionales,  sistemas  de  control, definición de roles, monotonía, Jornadas de trabajo, conocimientos habilidades.
Acoso laboral y acoso sexual laboral</t>
  </si>
  <si>
    <t>Resolución  2646/2008 Minsalud Art. 1 -21 Se establecen criterios y responsabilidades para la identificación, evaluación, prevención, intervención y monitoreo permanente a la exposición a los factores de riesgo psicosocial en el trabajo, así como el estudio y determinación de origen de patologías presuntamente causadas por estrés ocupacional.</t>
  </si>
  <si>
    <t>1. ¿La empresa ha identificado los requisitos específicos de Resolución 2646/2008 Minsalud Art. 1 -21 Se establecen criterios y responsabilidades para la identificación, evaluación, prevención, intervención y monitoreo permanente a la exposición a los factores de riesgo psicosocial en el trabajo, así como el estudio y determinación de origen de patologías presuntamente causadas por estrés ocupacional. que aplican a su actividad económica y tamaño?
2. ¿Se dispone de procedimientos, instructivos o formatos que permitan cumplir con las exigencias técnicas y administrativas de Resolución 2646/2008 Minsalud Art. 1 -21 Se establecen criterios y responsabilidades para la identificación, evaluación, prevención, intervención y monitoreo permanente a la exposición a los factores de riesgo psicosocial en el trabajo, así como el estudio y determinación de origen de patologías presuntamente causadas por estrés ocupacional.?
3. ¿Existen registros (informes, actas, listados, certificados, reportes en plataformas) que evidencien el cumplimiento de Resolución 2646/2008 Minsalud Art. 1 -21 Se establecen criterios y responsabilidades para la identificación, evaluación, prevención, intervención y monitoreo permanente a la exposición a los factores de riesgo psicosocial en el trabajo, así como el estudio y determinación de origen de patologías presuntamente causadas por estrés ocupacional.?
4. ¿Los responsables del SG-SST realizan seguimiento periódico a los ítems de Resolución 2646/2008 Minsalud Art. 1 -21 Se establecen criterios y responsabilidades para la identificación, evaluación, prevención, intervención y monitoreo permanente a la exposición a los factores de riesgo psicosocial en el trabajo, así como el estudio y determinación de origen de patologías presuntamente causadas por estrés ocupacional. incluidos en la matriz legal y documentan los resultados?
5. ¿Se han comunicado los requisitos de Resolución 2646/2008 Minsalud Art. 1 -21 Se establecen criterios y responsabilidades para la identificación, evaluación, prevención, intervención y monitoreo permanente a la exposición a los factores de riesgo psicosocial en el trabajo, así como el estudio y determinación de origen de patologías presuntamente causadas por estrés ocupacional. a los trabajadores, contratistas y proveedores que se ven impactados por esta norma?
6. ¿Las no conformidades asociadas al cumplimiento de Resolución 2646/2008 Minsalud Art. 1 -21 Se establecen criterios y responsabilidades para la identificación, evaluación, prevención, intervención y monitoreo permanente a la exposición a los factores de riesgo psicosocial en el trabajo, así como el estudio y determinación de origen de patologías presuntamente causadas por estrés ocupacional. generan acciones correctivas o de mejora con responsables y fechas definidas?</t>
  </si>
  <si>
    <t>validar coherencia con manual de convivencia y código de conducta
Los otros criterios en rojo como vigencia del COCOLAB Validar que esté al día con los informes trimestrale y anuales
Art de la 2191 desconexión lab política desconexión lab
otros criterios color rojo</t>
  </si>
  <si>
    <t>Ley 1010 de 2006 (Art. 9#1)</t>
  </si>
  <si>
    <t>1. ¿La empresa ha identificado y documentado en la matriz legal las obligaciones derivadas de Ley 1010 de 2006 (Art. 9#1) y su relación con el SG-SST?
2. ¿Las políticas, procedimientos y programas del SG-SST incorporan de forma explícita los lineamientos establecidos en Ley 1010 de 2006 (Art. 9#1)?
3. ¿Existe evidencia documental (actas, comunicaciones, registros, contratos, entre otros) que demuestre la aplicación de Ley 1010 de 2006 (Art. 9#1) en la organización?
4. ¿Se ha socializado con trabajadores, líderes y responsables del SG-SST el contenido y alcance de Ley 1010 de 2006 (Art. 9#1) y sus implicaciones en seguridad y salud en el trabajo?
5. ¿Se realiza seguimiento periódico al cumplimiento de Ley 1010 de 2006 (Art. 9#1), dejando soportes de las revisiones y acciones de mejora cuando se identifican brechas?
6. ¿Los cambios o reformas a Ley 1010 de 2006 (Art. 9#1) se registran oportunamente en la matriz legal y se comunican a los procesos impactados?</t>
  </si>
  <si>
    <t>Resolución 652/2012 Comité de Convivencia</t>
  </si>
  <si>
    <t>1. ¿La empresa ha identificado los requisitos específicos de Resolución 652/2012 Comité de Convivencia que aplican a su actividad económica y tamaño?
2. ¿Se dispone de procedimientos, instructivos o formatos que permitan cumplir con las exigencias técnicas y administrativas de Resolución 652/2012 Comité de Convivencia?
3. ¿Existen registros (informes, actas, listados, certificados, reportes en plataformas) que evidencien el cumplimiento de Resolución 652/2012 Comité de Convivencia?
4. ¿Los responsables del SG-SST realizan seguimiento periódico a los ítems de Resolución 652/2012 Comité de Convivencia incluidos en la matriz legal y documentan los resultados?
5. ¿Se han comunicado los requisitos de Resolución 652/2012 Comité de Convivencia a los trabajadores, contratistas y proveedores que se ven impactados por esta norma?
6. ¿Las no conformidades asociadas al cumplimiento de Resolución 652/2012 Comité de Convivencia generan acciones correctivas o de mejora con responsables y fechas definidas?</t>
  </si>
  <si>
    <t>Resolución 1356/2012 Modifica parcialmente la 652.</t>
  </si>
  <si>
    <t>1. ¿La empresa ha identificado los requisitos específicos de Resolución 1356/2012 Modifica parcialmente la 652. que aplican a su actividad económica y tamaño?
2. ¿Se dispone de procedimientos, instructivos o formatos que permitan cumplir con las exigencias técnicas y administrativas de Resolución 1356/2012 Modifica parcialmente la 652.?
3. ¿Existen registros (informes, actas, listados, certificados, reportes en plataformas) que evidencien el cumplimiento de Resolución 1356/2012 Modifica parcialmente la 652.?
4. ¿Los responsables del SG-SST realizan seguimiento periódico a los ítems de Resolución 1356/2012 Modifica parcialmente la 652. incluidos en la matriz legal y documentan los resultados?
5. ¿Se han comunicado los requisitos de Resolución 1356/2012 Modifica parcialmente la 652. a los trabajadores, contratistas y proveedores que se ven impactados por esta norma?
6. ¿Las no conformidades asociadas al cumplimiento de Resolución 1356/2012 Modifica parcialmente la 652. generan acciones correctivas o de mejora con responsables y fechas definidas?</t>
  </si>
  <si>
    <t>Ley 1616 de 2013 Salud mental</t>
  </si>
  <si>
    <t>1. ¿La empresa ha identificado y documentado en la matriz legal las obligaciones derivadas de Ley 1616 de 2013 Salud mental y su relación con el SG-SST?
2. ¿Las políticas, procedimientos y programas del SG-SST incorporan de forma explícita los lineamientos establecidos en Ley 1616 de 2013 Salud mental?
3. ¿Existe evidencia documental (actas, comunicaciones, registros, contratos, entre otros) que demuestre la aplicación de Ley 1616 de 2013 Salud mental en la organización?
4. ¿Se ha socializado con trabajadores, líderes y responsables del SG-SST el contenido y alcance de Ley 1616 de 2013 Salud mental y sus implicaciones en seguridad y salud en el trabajo?
5. ¿Se realiza seguimiento periódico al cumplimiento de Ley 1616 de 2013 Salud mental, dejando soportes de las revisiones y acciones de mejora cuando se identifican brechas?
6. ¿Los cambios o reformas a Ley 1616 de 2013 Salud mental se registran oportunamente en la matriz legal y se comunican a los procesos impactados?</t>
  </si>
  <si>
    <t>Decreto 658 de 2013 Cronograma de reglamentación e implementación de la Ley 1616 de 2013 que garantiza el ejercicio pleno al derecho de la salud mental en Colombia</t>
  </si>
  <si>
    <t>1. ¿El SG-SST incorpora los requisitos establecidos en Decreto 658 de 2013 Cronograma de reglamentación e implementación de la Ley 1616 de 2013 que garantiza el ejercicio pleno al derecho de la salud mental en Colombia dentro de sus procedimientos, estándares y controles operativos?
2. ¿Se cuenta con documentación actualizada (procedimientos, instructivos, protocolos) que evidencie la implementación de lo definido en Decreto 658 de 2013 Cronograma de reglamentación e implementación de la Ley 1616 de 2013 que garantiza el ejercicio pleno al derecho de la salud mental en Colombia?
3. ¿Se verifica de manera periódica el cumplimiento de Decreto 658 de 2013 Cronograma de reglamentación e implementación de la Ley 1616 de 2013 que garantiza el ejercicio pleno al derecho de la salud mental en Colombia en auditorías internas, inspecciones o revisiones de la matriz legal?
4. ¿Los responsables de cada proceso conocen las obligaciones derivadas de Decreto 658 de 2013 Cronograma de reglamentación e implementación de la Ley 1616 de 2013 que garantiza el ejercicio pleno al derecho de la salud mental en Colombia que les aplican y cuentan con los recursos para cumplirlas?
5. ¿Se conservan registros (informes, actas, listas de verificación, reportes) que demuestren la aplicación práctica de Decreto 658 de 2013 Cronograma de reglamentación e implementación de la Ley 1616 de 2013 que garantiza el ejercicio pleno al derecho de la salud mental en Colombia en la empresa?
6. ¿Las actualizaciones o derogatorias relacionadas con Decreto 658 de 2013 Cronograma de reglamentación e implementación de la Ley 1616 de 2013 que garantiza el ejercicio pleno al derecho de la salud mental en Colombia se reflejan oportunamente en la matriz legal y en los documentos del SG-SST?</t>
  </si>
  <si>
    <t>Resolución 4886 del 07-11-2018 por la cual se adopta la Política Nacional de salud mental</t>
  </si>
  <si>
    <t>1. ¿La empresa ha identificado los requisitos específicos de Resolución 4886 del 07-11-2018 por la cual se adopta la Política Nacional de salud mental que aplican a su actividad económica y tamaño?
2. ¿Se dispone de procedimientos, instructivos o formatos que permitan cumplir con las exigencias técnicas y administrativas de Resolución 4886 del 07-11-2018 por la cual se adopta la Política Nacional de salud mental?
3. ¿Existen registros (informes, actas, listados, certificados, reportes en plataformas) que evidencien el cumplimiento de Resolución 4886 del 07-11-2018 por la cual se adopta la Política Nacional de salud mental?
4. ¿Los responsables del SG-SST realizan seguimiento periódico a los ítems de Resolución 4886 del 07-11-2018 por la cual se adopta la Política Nacional de salud mental incluidos en la matriz legal y documentan los resultados?
5. ¿Se han comunicado los requisitos de Resolución 4886 del 07-11-2018 por la cual se adopta la Política Nacional de salud mental a los trabajadores, contratistas y proveedores que se ven impactados por esta norma?
6. ¿Las no conformidades asociadas al cumplimiento de Resolución 4886 del 07-11-2018 por la cual se adopta la Política Nacional de salud mental generan acciones correctivas o de mejora con responsables y fechas definidas?</t>
  </si>
  <si>
    <t>Ley 1414 de 2010. Protección para las personas que padecen epilepsia, art 14. Garantizarles sus derechos y la SST</t>
  </si>
  <si>
    <t>1. ¿La empresa ha identificado y documentado en la matriz legal las obligaciones derivadas de Ley 1414 de 2010. Protección para las personas que padecen epilepsia, art 14. Garantizarles sus derechos y la SST y su relación con el SG-SST?
2. ¿Las políticas, procedimientos y programas del SG-SST incorporan de forma explícita los lineamientos establecidos en Ley 1414 de 2010. Protección para las personas que padecen epilepsia, art 14. Garantizarles sus derechos y la SST?
3. ¿Existe evidencia documental (actas, comunicaciones, registros, contratos, entre otros) que demuestre la aplicación de Ley 1414 de 2010. Protección para las personas que padecen epilepsia, art 14. Garantizarles sus derechos y la SST en la organización?
4. ¿Se ha socializado con trabajadores, líderes y responsables del SG-SST el contenido y alcance de Ley 1414 de 2010. Protección para las personas que padecen epilepsia, art 14. Garantizarles sus derechos y la SST y sus implicaciones en seguridad y salud en el trabajo?
5. ¿Se realiza seguimiento periódico al cumplimiento de Ley 1414 de 2010. Protección para las personas que padecen epilepsia, art 14. Garantizarles sus derechos y la SST, dejando soportes de las revisiones y acciones de mejora cuando se identifican brechas?
6. ¿Los cambios o reformas a Ley 1414 de 2010. Protección para las personas que padecen epilepsia, art 14. Garantizarles sus derechos y la SST se registran oportunamente en la matriz legal y se comunican a los procesos impactados?</t>
  </si>
  <si>
    <t xml:space="preserve">Decreto 1477 del 2014 tabla de Enfermedades Laborales. </t>
  </si>
  <si>
    <t>Ley 1752 de 2015 Por medio de la cual se modifica la Ley 1482 de 2011, para sancionar penalmente la discriminación contra las personas con discapacidad.</t>
  </si>
  <si>
    <t>1. ¿La empresa ha identificado y documentado en la matriz legal las obligaciones derivadas de Ley 1752 de 2015 Por medio de la cual se modifica la Ley 1482 de 2011, para sancionar penalmente la discriminación contra las personas con discapacidad. y su relación con el SG-SST?
2. ¿Las políticas, procedimientos y programas del SG-SST incorporan de forma explícita los lineamientos establecidos en Ley 1752 de 2015 Por medio de la cual se modifica la Ley 1482 de 2011, para sancionar penalmente la discriminación contra las personas con discapacidad.?
3. ¿Existe evidencia documental (actas, comunicaciones, registros, contratos, entre otros) que demuestre la aplicación de Ley 1752 de 2015 Por medio de la cual se modifica la Ley 1482 de 2011, para sancionar penalmente la discriminación contra las personas con discapacidad. en la organización?
4. ¿Se ha socializado con trabajadores, líderes y responsables del SG-SST el contenido y alcance de Ley 1752 de 2015 Por medio de la cual se modifica la Ley 1482 de 2011, para sancionar penalmente la discriminación contra las personas con discapacidad. y sus implicaciones en seguridad y salud en el trabajo?
5. ¿Se realiza seguimiento periódico al cumplimiento de Ley 1752 de 2015 Por medio de la cual se modifica la Ley 1482 de 2011, para sancionar penalmente la discriminación contra las personas con discapacidad., dejando soportes de las revisiones y acciones de mejora cuando se identifican brechas?
6. ¿Los cambios o reformas a Ley 1752 de 2015 Por medio de la cual se modifica la Ley 1482 de 2011, para sancionar penalmente la discriminación contra las personas con discapacidad. se registran oportunamente en la matriz legal y se comunican a los procesos impactados?</t>
  </si>
  <si>
    <t>Ley 1257 de 2008 Artículo 12. Medidas en el ámbito Laboral (…)</t>
  </si>
  <si>
    <t>1. ¿La empresa ha identificado y documentado en la matriz legal las obligaciones derivadas de Ley 1257 de 2008 Artículo 12. Medidas en el ámbito Laboral (…) y su relación con el SG-SST?
2. ¿Las políticas, procedimientos y programas del SG-SST incorporan de forma explícita los lineamientos establecidos en Ley 1257 de 2008 Artículo 12. Medidas en el ámbito Laboral (…)?
3. ¿Existe evidencia documental (actas, comunicaciones, registros, contratos, entre otros) que demuestre la aplicación de Ley 1257 de 2008 Artículo 12. Medidas en el ámbito Laboral (…) en la organización?
4. ¿Se ha socializado con trabajadores, líderes y responsables del SG-SST el contenido y alcance de Ley 1257 de 2008 Artículo 12. Medidas en el ámbito Laboral (…) y sus implicaciones en seguridad y salud en el trabajo?
5. ¿Se realiza seguimiento periódico al cumplimiento de Ley 1257 de 2008 Artículo 12. Medidas en el ámbito Laboral (…), dejando soportes de las revisiones y acciones de mejora cuando se identifican brechas?
6. ¿Los cambios o reformas a Ley 1257 de 2008 Artículo 12. Medidas en el ámbito Laboral (…) se registran oportunamente en la matriz legal y se comunican a los procesos impactados?</t>
  </si>
  <si>
    <t>Decreto 4463 de 2011: Desarrollar campañas para erradicar todo acto de discriminación y violencia contra las mujeres en el ámbito laboral. Tramitar las quejas de acoso sexual y de otras formas de violencia contra la mujer.Ley 1857/17. Jornada semestral/familias, Ley 2191 del 6-01-2022 Congreso regula la desconexión laboral</t>
  </si>
  <si>
    <t>1. ¿El SG-SST incorpora los requisitos establecidos en Decreto 4463 de 2011: Desarrollar campañas para erradicar todo acto de discriminación y violencia contra las mujeres en el ámbito laboral. Tramitar las quejas de acoso sexual y de otras formas de violencia contra la mujer.Ley 1857/17. Jornada semestral/familias, Ley 2191 del 6-01-2022 Congreso regula la desconexión laboral dentro de sus procedimientos, estándares y controles operativos?
2. ¿Se cuenta con documentación actualizada (procedimientos, instructivos, protocolos) que evidencie la implementación de lo definido en Decreto 4463 de 2011: Desarrollar campañas para erradicar todo acto de discriminación y violencia contra las mujeres en el ámbito laboral. Tramitar las quejas de acoso sexual y de otras formas de violencia contra la mujer.Ley 1857/17. Jornada semestral/familias, Ley 2191 del 6-01-2022 Congreso regula la desconexión laboral?
3. ¿Se verifica de manera periódica el cumplimiento de Decreto 4463 de 2011: Desarrollar campañas para erradicar todo acto de discriminación y violencia contra las mujeres en el ámbito laboral. Tramitar las quejas de acoso sexual y de otras formas de violencia contra la mujer.Ley 1857/17. Jornada semestral/familias, Ley 2191 del 6-01-2022 Congreso regula la desconexión laboral en auditorías internas, inspecciones o revisiones de la matriz legal?
4. ¿Los responsables de cada proceso conocen las obligaciones derivadas de Decreto 4463 de 2011: Desarrollar campañas para erradicar todo acto de discriminación y violencia contra las mujeres en el ámbito laboral. Tramitar las quejas de acoso sexual y de otras formas de violencia contra la mujer.Ley 1857/17. Jornada semestral/familias, Ley 2191 del 6-01-2022 Congreso regula la desconexión laboral que les aplican y cuentan con los recursos para cumplirlas?
5. ¿Se conservan registros (informes, actas, listas de verificación, reportes) que demuestren la aplicación práctica de Decreto 4463 de 2011: Desarrollar campañas para erradicar todo acto de discriminación y violencia contra las mujeres en el ámbito laboral. Tramitar las quejas de acoso sexual y de otras formas de violencia contra la mujer.Ley 1857/17. Jornada semestral/familias, Ley 2191 del 6-01-2022 Congreso regula la desconexión laboral en la empresa?
6. ¿Las actualizaciones o derogatorias relacionadas con Decreto 4463 de 2011: Desarrollar campañas para erradicar todo acto de discriminación y violencia contra las mujeres en el ámbito laboral. Tramitar las quejas de acoso sexual y de otras formas de violencia contra la mujer.Ley 1857/17. Jornada semestral/familias, Ley 2191 del 6-01-2022 Congreso regula la desconexión laboral se reflejan oportunamente en la matriz legal y en los documentos del SG-SST?</t>
  </si>
  <si>
    <t>Ley 1857/17. Jornada semestral/familias, Ley 2191 del 6-01-2022 Congreso regula la desconexión laboral</t>
  </si>
  <si>
    <t>1. ¿La empresa ha identificado y documentado en la matriz legal las obligaciones derivadas de Ley 1857/17. Jornada semestral/familias, Ley 2191 del 6-01-2022 Congreso regula la desconexión laboral y su relación con el SG-SST?
2. ¿Las políticas, procedimientos y programas del SG-SST incorporan de forma explícita los lineamientos establecidos en Ley 1857/17. Jornada semestral/familias, Ley 2191 del 6-01-2022 Congreso regula la desconexión laboral?
3. ¿Existe evidencia documental (actas, comunicaciones, registros, contratos, entre otros) que demuestre la aplicación de Ley 1857/17. Jornada semestral/familias, Ley 2191 del 6-01-2022 Congreso regula la desconexión laboral en la organización?
4. ¿Se ha socializado con trabajadores, líderes y responsables del SG-SST el contenido y alcance de Ley 1857/17. Jornada semestral/familias, Ley 2191 del 6-01-2022 Congreso regula la desconexión laboral y sus implicaciones en seguridad y salud en el trabajo?
5. ¿Se realiza seguimiento periódico al cumplimiento de Ley 1857/17. Jornada semestral/familias, Ley 2191 del 6-01-2022 Congreso regula la desconexión laboral, dejando soportes de las revisiones y acciones de mejora cuando se identifican brechas?
6. ¿Los cambios o reformas a Ley 1857/17. Jornada semestral/familias, Ley 2191 del 6-01-2022 Congreso regula la desconexión laboral se registran oportunamente en la matriz legal y se comunican a los procesos impactados?</t>
  </si>
  <si>
    <t>Ley 2191 del 6-01-2022 Congreso regula la desconexión laboral</t>
  </si>
  <si>
    <t>1. ¿La empresa ha identificado y documentado en la matriz legal las obligaciones derivadas de Ley 2191 del 6-01-2022 Congreso regula la desconexión laboral y su relación con el SG-SST?
2. ¿Las políticas, procedimientos y programas del SG-SST incorporan de forma explícita los lineamientos establecidos en Ley 2191 del 6-01-2022 Congreso regula la desconexión laboral?
3. ¿Existe evidencia documental (actas, comunicaciones, registros, contratos, entre otros) que demuestre la aplicación de Ley 2191 del 6-01-2022 Congreso regula la desconexión laboral en la organización?
4. ¿Se ha socializado con trabajadores, líderes y responsables del SG-SST el contenido y alcance de Ley 2191 del 6-01-2022 Congreso regula la desconexión laboral y sus implicaciones en seguridad y salud en el trabajo?
5. ¿Se realiza seguimiento periódico al cumplimiento de Ley 2191 del 6-01-2022 Congreso regula la desconexión laboral, dejando soportes de las revisiones y acciones de mejora cuando se identifican brechas?
6. ¿Los cambios o reformas a Ley 2191 del 6-01-2022 Congreso regula la desconexión laboral se registran oportunamente en la matriz legal y se comunican a los procesos impactados?</t>
  </si>
  <si>
    <t>Circular 001 del 14-02-2022 Procuraduría G de la nación. Cumplimiento a la política pública en salud mental y el fortalecimiento de acciones de promoción y prevención para mejorar y garantizar la salud mental de los colombianos</t>
  </si>
  <si>
    <t>1. ¿La empresa conoce y ha analizado los lineamientos impartidos en Circular 001 del 14-02-2022 Procuraduría G de la nación. Cumplimiento a la política pública en salud mental y el fortalecimiento de acciones de promoción y prevención para mejorar y garantizar la salud mental de los colombianos frente a su actividad y condiciones de trabajo?
2. ¿Se han incorporado en los procedimientos internos las orientaciones y criterios definidos en Circular 001 del 14-02-2022 Procuraduría G de la nación. Cumplimiento a la política pública en salud mental y el fortalecimiento de acciones de promoción y prevención para mejorar y garantizar la salud mental de los colombianos?
3. ¿Existe evidencia de comunicación interna (correos, circulares, actas) sobre el contenido de Circular 001 del 14-02-2022 Procuraduría G de la nación. Cumplimiento a la política pública en salud mental y el fortalecimiento de acciones de promoción y prevención para mejorar y garantizar la salud mental de los colombianos a las áreas responsables?
4. ¿Se verifica en auditorías o revisiones internas el cumplimiento de las instrucciones dadas en Circular 001 del 14-02-2022 Procuraduría G de la nación. Cumplimiento a la política pública en salud mental y el fortalecimiento de acciones de promoción y prevención para mejorar y garantizar la salud mental de los colombianos?
5. ¿Los cambios o nuevas circulares que complementan o sustituyen a Circular 001 del 14-02-2022 Procuraduría G de la nación. Cumplimiento a la política pública en salud mental y el fortalecimiento de acciones de promoción y prevención para mejorar y garantizar la salud mental de los colombianos se actualizan oportunamente en la matriz legal?
6. ¿Se conservan registros de las decisiones tomadas a partir de Circular 001 del 14-02-2022 Procuraduría G de la nación. Cumplimiento a la política pública en salud mental y el fortalecimiento de acciones de promoción y prevención para mejorar y garantizar la salud mental de los colombianos en relación con el SG-SST?</t>
  </si>
  <si>
    <t>Ley 2209 del 23-05 de 2022 Congreso modificó el artículo 18 de la ley 1010 de 2006, las acciones de Acoso aboral caducan a los 3 años</t>
  </si>
  <si>
    <t>1. ¿La empresa ha identificado y documentado en la matriz legal las obligaciones derivadas de Ley 2209 del 23-05 de 2022 Congreso modificó el artículo 18 de la ley 1010 de 2006, las acciones de Acoso aboral caducan a los 3 años y su relación con el SG-SST?
2. ¿Las políticas, procedimientos y programas del SG-SST incorporan de forma explícita los lineamientos establecidos en Ley 2209 del 23-05 de 2022 Congreso modificó el artículo 18 de la ley 1010 de 2006, las acciones de Acoso aboral caducan a los 3 años?
3. ¿Existe evidencia documental (actas, comunicaciones, registros, contratos, entre otros) que demuestre la aplicación de Ley 2209 del 23-05 de 2022 Congreso modificó el artículo 18 de la ley 1010 de 2006, las acciones de Acoso aboral caducan a los 3 años en la organización?
4. ¿Se ha socializado con trabajadores, líderes y responsables del SG-SST el contenido y alcance de Ley 2209 del 23-05 de 2022 Congreso modificó el artículo 18 de la ley 1010 de 2006, las acciones de Acoso aboral caducan a los 3 años y sus implicaciones en seguridad y salud en el trabajo?
5. ¿Se realiza seguimiento periódico al cumplimiento de Ley 2209 del 23-05 de 2022 Congreso modificó el artículo 18 de la ley 1010 de 2006, las acciones de Acoso aboral caducan a los 3 años, dejando soportes de las revisiones y acciones de mejora cuando se identifican brechas?
6. ¿Los cambios o reformas a Ley 2209 del 23-05 de 2022 Congreso modificó el artículo 18 de la ley 1010 de 2006, las acciones de Acoso aboral caducan a los 3 años se registran oportunamente en la matriz legal y se comunican a los procesos impactados?</t>
  </si>
  <si>
    <t>Resolución 2764 del 18 de julio de 2022, Min trabajo adopta la Batería de instrumentos para la evaluación de factores de Riesgo Psicosocial, la Guía Técnica General para la promoción, prevención e intervención de los factores psicosociales y sus efectos en la población trabajadora y sus protocolos específicos y se dictan otras disposiciones. Deroga  la Resolución 2404 de 2019.</t>
  </si>
  <si>
    <t>1. ¿La empresa ha identificado los requisitos específicos de Resolución 2764 del 18 de julio de 2022, Min trabajo adopta la Batería de instrumentos para la evaluación de factores de Riesgo Psicosocial, la Guía Técnica General para la promoción, prevención e intervención de los factores psicosociales y sus efectos en la población trabajadora y sus protocolos específicos y se dictan otras disposiciones. Deroga la Resolución 2404 de 2019. que aplican a su actividad económica y tamaño?
2. ¿Se dispone de procedimientos, instructivos o formatos que permitan cumplir con las exigencias técnicas y administrativas de Resolución 2764 del 18 de julio de 2022, Min trabajo adopta la Batería de instrumentos para la evaluación de factores de Riesgo Psicosocial, la Guía Técnica General para la promoción, prevención e intervención de los factores psicosociales y sus efectos en la población trabajadora y sus protocolos específicos y se dictan otras disposiciones. Deroga la Resolución 2404 de 2019.?
3. ¿Existen registros (informes, actas, listados, certificados, reportes en plataformas) que evidencien el cumplimiento de Resolución 2764 del 18 de julio de 2022, Min trabajo adopta la Batería de instrumentos para la evaluación de factores de Riesgo Psicosocial, la Guía Técnica General para la promoción, prevención e intervención de los factores psicosociales y sus efectos en la población trabajadora y sus protocolos específicos y se dictan otras disposiciones. Deroga la Resolución 2404 de 2019.?
4. ¿Los responsables del SG-SST realizan seguimiento periódico a los ítems de Resolución 2764 del 18 de julio de 2022, Min trabajo adopta la Batería de instrumentos para la evaluación de factores de Riesgo Psicosocial, la Guía Técnica General para la promoción, prevención e intervención de los factores psicosociales y sus efectos en la población trabajadora y sus protocolos específicos y se dictan otras disposiciones. Deroga la Resolución 2404 de 2019. incluidos en la matriz legal y documentan los resultados?
5. ¿Se han comunicado los requisitos de Resolución 2764 del 18 de julio de 2022, Min trabajo adopta la Batería de instrumentos para la evaluación de factores de Riesgo Psicosocial, la Guía Técnica General para la promoción, prevención e intervención de los factores psicosociales y sus efectos en la población trabajadora y sus protocolos específicos y se dictan otras disposiciones. Deroga la Resolución 2404 de 2019. a los trabajadores, contratistas y proveedores que se ven impactados por esta norma?
6. ¿Las no conformidades asociadas al cumplimiento de Resolución 2764 del 18 de julio de 2022, Min trabajo adopta la Batería de instrumentos para la evaluación de factores de Riesgo Psicosocial, la Guía Técnica General para la promoción, prevención e intervención de los factores psicosociales y sus efectos en la población trabajadora y sus protocolos específicos y se dictan otras disposiciones. Deroga la Resolución 2404 de 2019. generan acciones correctivas o de mejora con responsables y fechas definidas?</t>
  </si>
  <si>
    <t>Circular 69 del 22-11-2022 Aclara Fuero de protección ante queja de AL</t>
  </si>
  <si>
    <t>1. ¿La empresa conoce y ha analizado los lineamientos impartidos en Circular 69 del 22-11-2022 Aclara Fuero de protección ante queja de AL frente a su actividad y condiciones de trabajo?
2. ¿Se han incorporado en los procedimientos internos las orientaciones y criterios definidos en Circular 69 del 22-11-2022 Aclara Fuero de protección ante queja de AL?
3. ¿Existe evidencia de comunicación interna (correos, circulares, actas) sobre el contenido de Circular 69 del 22-11-2022 Aclara Fuero de protección ante queja de AL a las áreas responsables?
4. ¿Se verifica en auditorías o revisiones internas el cumplimiento de las instrucciones dadas en Circular 69 del 22-11-2022 Aclara Fuero de protección ante queja de AL?
5. ¿Los cambios o nuevas circulares que complementan o sustituyen a Circular 69 del 22-11-2022 Aclara Fuero de protección ante queja de AL se actualizan oportunamente en la matriz legal?
6. ¿Se conservan registros de las decisiones tomadas a partir de Circular 69 del 22-11-2022 Aclara Fuero de protección ante queja de AL en relación con el SG-SST?</t>
  </si>
  <si>
    <t>Circular 026 del 8-03-2023  Min trabajo prevención y atención del acoso laboral y sexual</t>
  </si>
  <si>
    <t>1. ¿La empresa conoce y ha analizado los lineamientos impartidos en Circular 026 del 8-03-2023 Min trabajo prevención y atención del acoso laboral y sexual frente a su actividad y condiciones de trabajo?
2. ¿Se han incorporado en los procedimientos internos las orientaciones y criterios definidos en Circular 026 del 8-03-2023 Min trabajo prevención y atención del acoso laboral y sexual?
3. ¿Existe evidencia de comunicación interna (correos, circulares, actas) sobre el contenido de Circular 026 del 8-03-2023 Min trabajo prevención y atención del acoso laboral y sexual a las áreas responsables?
4. ¿Se verifica en auditorías o revisiones internas el cumplimiento de las instrucciones dadas en Circular 026 del 8-03-2023 Min trabajo prevención y atención del acoso laboral y sexual?
5. ¿Los cambios o nuevas circulares que complementan o sustituyen a Circular 026 del 8-03-2023 Min trabajo prevención y atención del acoso laboral y sexual se actualizan oportunamente en la matriz legal?
6. ¿Se conservan registros de las decisiones tomadas a partir de Circular 026 del 8-03-2023 Min trabajo prevención y atención del acoso laboral y sexual en relación con el SG-SST?</t>
  </si>
  <si>
    <t>LEY 2365 del 20-06- 2024 Congreso, por medio de la cual se adoptan medidas de prevención, protección y atención del acoso sexual en el ámbito laboral</t>
  </si>
  <si>
    <t>1. ¿La empresa ha identificado y documentado en la matriz legal las obligaciones derivadas de LEY 2365 del 20-06- 2024 Congreso, por medio de la cual se adoptan medidas de prevención, protección y atención del acoso sexual en el ámbito laboral y su relación con el SG-SST?
2. ¿Las políticas, procedimientos y programas del SG-SST incorporan de forma explícita los lineamientos establecidos en LEY 2365 del 20-06- 2024 Congreso, por medio de la cual se adoptan medidas de prevención, protección y atención del acoso sexual en el ámbito laboral?
3. ¿Existe evidencia documental (actas, comunicaciones, registros, contratos, entre otros) que demuestre la aplicación de LEY 2365 del 20-06- 2024 Congreso, por medio de la cual se adoptan medidas de prevención, protección y atención del acoso sexual en el ámbito laboral en la organización?
4. ¿Se ha socializado con trabajadores, líderes y responsables del SG-SST el contenido y alcance de LEY 2365 del 20-06- 2024 Congreso, por medio de la cual se adoptan medidas de prevención, protección y atención del acoso sexual en el ámbito laboral y sus implicaciones en seguridad y salud en el trabajo?
5. ¿Se realiza seguimiento periódico al cumplimiento de LEY 2365 del 20-06- 2024 Congreso, por medio de la cual se adoptan medidas de prevención, protección y atención del acoso sexual en el ámbito laboral, dejando soportes de las revisiones y acciones de mejora cuando se identifican brechas?
6. ¿Los cambios o reformas a LEY 2365 del 20-06- 2024 Congreso, por medio de la cual se adoptan medidas de prevención, protección y atención del acoso sexual en el ámbito laboral se registran oportunamente en la matriz legal y se comunican a los procesos impactados?</t>
  </si>
  <si>
    <t>Circular 55 del 4 -09-2024 Prevención, identificación y atención del acoso laboral, acoso sexual y discriminación contra las personas de los sectores sociales LGBTIQ+ en el ámbito laboral. Numerales 7, 8, 9, 10, , Circular 70 del 25-10-2024 Acciones de P&amp;P en salud mental</t>
  </si>
  <si>
    <t>1. ¿La empresa conoce y ha analizado los lineamientos impartidos en Circular 55 del 4 -09-2024 Prevención, identificación y atención del acoso laboral, acoso sexual y discriminación contra las personas de los sectores sociales LGBTIQ+ en el ámbito laboral. Numerales 7, 8, 9, 10, , Circular 70 del 25-10-2024 Acciones de P&amp;P en salud mental frente a su actividad y condiciones de trabajo?
2. ¿Se han incorporado en los procedimientos internos las orientaciones y criterios definidos en Circular 55 del 4 -09-2024 Prevención, identificación y atención del acoso laboral, acoso sexual y discriminación contra las personas de los sectores sociales LGBTIQ+ en el ámbito laboral. Numerales 7, 8, 9, 10, , Circular 70 del 25-10-2024 Acciones de P&amp;P en salud mental?
3. ¿Existe evidencia de comunicación interna (correos, circulares, actas) sobre el contenido de Circular 55 del 4 -09-2024 Prevención, identificación y atención del acoso laboral, acoso sexual y discriminación contra las personas de los sectores sociales LGBTIQ+ en el ámbito laboral. Numerales 7, 8, 9, 10, , Circular 70 del 25-10-2024 Acciones de P&amp;P en salud mental a las áreas responsables?
4. ¿Se verifica en auditorías o revisiones internas el cumplimiento de las instrucciones dadas en Circular 55 del 4 -09-2024 Prevención, identificación y atención del acoso laboral, acoso sexual y discriminación contra las personas de los sectores sociales LGBTIQ+ en el ámbito laboral. Numerales 7, 8, 9, 10, , Circular 70 del 25-10-2024 Acciones de P&amp;P en salud mental?
5. ¿Los cambios o nuevas circulares que complementan o sustituyen a Circular 55 del 4 -09-2024 Prevención, identificación y atención del acoso laboral, acoso sexual y discriminación contra las personas de los sectores sociales LGBTIQ+ en el ámbito laboral. Numerales 7, 8, 9, 10, , Circular 70 del 25-10-2024 Acciones de P&amp;P en salud mental se actualizan oportunamente en la matriz legal?
6. ¿Se conservan registros de las decisiones tomadas a partir de Circular 55 del 4 -09-2024 Prevención, identificación y atención del acoso laboral, acoso sexual y discriminación contra las personas de los sectores sociales LGBTIQ+ en el ámbito laboral. Numerales 7, 8, 9, 10, , Circular 70 del 25-10-2024 Acciones de P&amp;P en salud mental en relación con el SG-SST?</t>
  </si>
  <si>
    <t>Circular 70 del 25-10-2024 Acciones de P&amp;P en salud mental</t>
  </si>
  <si>
    <t>1. ¿La empresa conoce y ha analizado los lineamientos impartidos en Circular 70 del 25-10-2024 Acciones de P&amp;P en salud mental frente a su actividad y condiciones de trabajo?
2. ¿Se han incorporado en los procedimientos internos las orientaciones y criterios definidos en Circular 70 del 25-10-2024 Acciones de P&amp;P en salud mental?
3. ¿Existe evidencia de comunicación interna (correos, circulares, actas) sobre el contenido de Circular 70 del 25-10-2024 Acciones de P&amp;P en salud mental a las áreas responsables?
4. ¿Se verifica en auditorías o revisiones internas el cumplimiento de las instrucciones dadas en Circular 70 del 25-10-2024 Acciones de P&amp;P en salud mental?
5. ¿Los cambios o nuevas circulares que complementan o sustituyen a Circular 70 del 25-10-2024 Acciones de P&amp;P en salud mental se actualizan oportunamente en la matriz legal?
6. ¿Se conservan registros de las decisiones tomadas a partir de Circular 70 del 25-10-2024 Acciones de P&amp;P en salud mental en relación con el SG-SST?</t>
  </si>
  <si>
    <t>Decreto 1527 del 12-12-2024, presencia de la república,  Por el cual se adiciona el Título 2 a la Parte 1 del Libro 2 del Decreto 1072 de 2015 Único Reglamentario del Sector Trabajo, y se adopta la Política Pública de Trabajo Digno y Decente. Artículo 2.1.2.2.2. Promoción de empleo e ingresos dignos Línea de acción C</t>
  </si>
  <si>
    <t>1. ¿El SG-SST incorpora los requisitos establecidos en Decreto 1527 del 12-12-2024, presencia de la república, Por el cual se adiciona el Título 2 a la Parte 1 del Libro 2 del Decreto 1072 de 2015 Único Reglamentario del Sector Trabajo, y se adopta la Política Pública de Trabajo Digno y Decente. Artículo 2.1.2.2.2. Promoción de empleo e ingresos dignos Línea de acción C dentro de sus procedimientos, estándares y controles operativos?
2. ¿Se cuenta con documentación actualizada (procedimientos, instructivos, protocolos) que evidencie la implementación de lo definido en Decreto 1527 del 12-12-2024, presencia de la república, Por el cual se adiciona el Título 2 a la Parte 1 del Libro 2 del Decreto 1072 de 2015 Único Reglamentario del Sector Trabajo, y se adopta la Política Pública de Trabajo Digno y Decente. Artículo 2.1.2.2.2. Promoción de empleo e ingresos dignos Línea de acción C?
3. ¿Se verifica de manera periódica el cumplimiento de Decreto 1527 del 12-12-2024, presencia de la república, Por el cual se adiciona el Título 2 a la Parte 1 del Libro 2 del Decreto 1072 de 2015 Único Reglamentario del Sector Trabajo, y se adopta la Política Pública de Trabajo Digno y Decente. Artículo 2.1.2.2.2. Promoción de empleo e ingresos dignos Línea de acción C en auditorías internas, inspecciones o revisiones de la matriz legal?
4. ¿Los responsables de cada proceso conocen las obligaciones derivadas de Decreto 1527 del 12-12-2024, presencia de la república, Por el cual se adiciona el Título 2 a la Parte 1 del Libro 2 del Decreto 1072 de 2015 Único Reglamentario del Sector Trabajo, y se adopta la Política Pública de Trabajo Digno y Decente. Artículo 2.1.2.2.2. Promoción de empleo e ingresos dignos Línea de acción C que les aplican y cuentan con los recursos para cumplirlas?
5. ¿Se conservan registros (informes, actas, listas de verificación, reportes) que demuestren la aplicación práctica de Decreto 1527 del 12-12-2024, presencia de la república, Por el cual se adiciona el Título 2 a la Parte 1 del Libro 2 del Decreto 1072 de 2015 Único Reglamentario del Sector Trabajo, y se adopta la Política Pública de Trabajo Digno y Decente. Artículo 2.1.2.2.2. Promoción de empleo e ingresos dignos Línea de acción C en la empresa?
6. ¿Las actualizaciones o derogatorias relacionadas con Decreto 1527 del 12-12-2024, presencia de la república, Por el cual se adiciona el Título 2 a la Parte 1 del Libro 2 del Decreto 1072 de 2015 Único Reglamentario del Sector Trabajo, y se adopta la Política Pública de Trabajo Digno y Decente. Artículo 2.1.2.2.2. Promoción de empleo e ingresos dignos Línea de acción C se reflejan oportunamente en la matriz legal y en los documentos del SG-SST?</t>
  </si>
  <si>
    <t>Decreto 0405 del 1-04-2025 Multa por despido de víctima denunciante de acoso sexual en el contexto laboral.</t>
  </si>
  <si>
    <t>1. ¿El SG-SST incorpora los requisitos establecidos en Decreto 0405 del 1-04-2025 Multa por despido de víctima denunciante de acoso sexual en el contexto laboral. dentro de sus procedimientos, estándares y controles operativos?
2. ¿Se cuenta con documentación actualizada (procedimientos, instructivos, protocolos) que evidencie la implementación de lo definido en Decreto 0405 del 1-04-2025 Multa por despido de víctima denunciante de acoso sexual en el contexto laboral.?
3. ¿Se verifica de manera periódica el cumplimiento de Decreto 0405 del 1-04-2025 Multa por despido de víctima denunciante de acoso sexual en el contexto laboral. en auditorías internas, inspecciones o revisiones de la matriz legal?
4. ¿Los responsables de cada proceso conocen las obligaciones derivadas de Decreto 0405 del 1-04-2025 Multa por despido de víctima denunciante de acoso sexual en el contexto laboral. que les aplican y cuentan con los recursos para cumplirlas?
5. ¿Se conservan registros (informes, actas, listas de verificación, reportes) que demuestren la aplicación práctica de Decreto 0405 del 1-04-2025 Multa por despido de víctima denunciante de acoso sexual en el contexto laboral. en la empresa?
6. ¿Las actualizaciones o derogatorias relacionadas con Decreto 0405 del 1-04-2025 Multa por despido de víctima denunciante de acoso sexual en el contexto laboral. se reflejan oportunamente en la matriz legal y en los documentos del SG-SST?</t>
  </si>
  <si>
    <t>Decreto 0728 de 2025,por el cual se adiciona el Capítulo 13 al Título 4 de la Parte 2 del Libro 2 del Decreto número 1072 de 2015, Decreto único Reglamentario del Sector Trabajo, para establecer acciones de promoción de la salud mental, prevención de problemas y trastornos mentales, y consumo de sustancias psicoactivas en el ámbito laboral.</t>
  </si>
  <si>
    <t>1. ¿El SG-SST incorpora los requisitos establecidos en Decreto 0728 de 2025,por el cual se adiciona el Capítulo 13 al Título 4 de la Parte 2 del Libro 2 del Decreto número 1072 de 2015, Decreto único Reglamentario del Sector Trabajo, para establecer acciones de promoción de la salud mental, prevención de problemas y trastornos mentales, y consumo de sustancias psicoactivas en el ámbito laboral. dentro de sus procedimientos, estándares y controles operativos?
2. ¿Se cuenta con documentación actualizada (procedimientos, instructivos, protocolos) que evidencie la implementación de lo definido en Decreto 0728 de 2025,por el cual se adiciona el Capítulo 13 al Título 4 de la Parte 2 del Libro 2 del Decreto número 1072 de 2015, Decreto único Reglamentario del Sector Trabajo, para establecer acciones de promoción de la salud mental, prevención de problemas y trastornos mentales, y consumo de sustancias psicoactivas en el ámbito laboral.?
3. ¿Se verifica de manera periódica el cumplimiento de Decreto 0728 de 2025,por el cual se adiciona el Capítulo 13 al Título 4 de la Parte 2 del Libro 2 del Decreto número 1072 de 2015, Decreto único Reglamentario del Sector Trabajo, para establecer acciones de promoción de la salud mental, prevención de problemas y trastornos mentales, y consumo de sustancias psicoactivas en el ámbito laboral. en auditorías internas, inspecciones o revisiones de la matriz legal?
4. ¿Los responsables de cada proceso conocen las obligaciones derivadas de Decreto 0728 de 2025,por el cual se adiciona el Capítulo 13 al Título 4 de la Parte 2 del Libro 2 del Decreto número 1072 de 2015, Decreto único Reglamentario del Sector Trabajo, para establecer acciones de promoción de la salud mental, prevención de problemas y trastornos mentales, y consumo de sustancias psicoactivas en el ámbito laboral. que les aplican y cuentan con los recursos para cumplirlas?
5. ¿Se conservan registros (informes, actas, listas de verificación, reportes) que demuestren la aplicación práctica de Decreto 0728 de 2025,por el cual se adiciona el Capítulo 13 al Título 4 de la Parte 2 del Libro 2 del Decreto número 1072 de 2015, Decreto único Reglamentario del Sector Trabajo, para establecer acciones de promoción de la salud mental, prevención de problemas y trastornos mentales, y consumo de sustancias psicoactivas en el ámbito laboral. en la empresa?
6. ¿Las actualizaciones o derogatorias relacionadas con Decreto 0728 de 2025,por el cual se adiciona el Capítulo 13 al Título 4 de la Parte 2 del Libro 2 del Decreto número 1072 de 2015, Decreto único Reglamentario del Sector Trabajo, para establecer acciones de promoción de la salud mental, prevención de problemas y trastornos mentales, y consumo de sustancias psicoactivas en el ámbito laboral. se reflejan oportunamente en la matriz legal y en los documentos del SG-SST?</t>
  </si>
  <si>
    <t xml:space="preserve">Ley 2466 de 2025, (Reforma Laboral). Amplia modificación al CST (jornada, recargos, tercerización, teletrabajo, acoso, estabilidad, etc.). Impacta contratos, reglamento interno, comités, y gestión de horas. </t>
  </si>
  <si>
    <t>1. ¿La empresa ha identificado y documentado en la matriz legal las obligaciones derivadas de Ley 2466 de 2025, (Reforma Laboral). Amplia modificación al CST (jornada, recargos, tercerización, teletrabajo, acoso, estabilidad, etc.). Impacta contratos, reglamento interno, comités, y gestión de horas. y su relación con el SG-SST?
2. ¿Las políticas, procedimientos y programas del SG-SST incorporan de forma explícita los lineamientos establecidos en Ley 2466 de 2025, (Reforma Laboral). Amplia modificación al CST (jornada, recargos, tercerización, teletrabajo, acoso, estabilidad, etc.). Impacta contratos, reglamento interno, comités, y gestión de horas.?
3. ¿Existe evidencia documental (actas, comunicaciones, registros, contratos, entre otros) que demuestre la aplicación de Ley 2466 de 2025, (Reforma Laboral). Amplia modificación al CST (jornada, recargos, tercerización, teletrabajo, acoso, estabilidad, etc.). Impacta contratos, reglamento interno, comités, y gestión de horas. en la organización?
4. ¿Se ha socializado con trabajadores, líderes y responsables del SG-SST el contenido y alcance de Ley 2466 de 2025, (Reforma Laboral). Amplia modificación al CST (jornada, recargos, tercerización, teletrabajo, acoso, estabilidad, etc.). Impacta contratos, reglamento interno, comités, y gestión de horas. y sus implicaciones en seguridad y salud en el trabajo?
5. ¿Se realiza seguimiento periódico al cumplimiento de Ley 2466 de 2025, (Reforma Laboral). Amplia modificación al CST (jornada, recargos, tercerización, teletrabajo, acoso, estabilidad, etc.). Impacta contratos, reglamento interno, comités, y gestión de horas., dejando soportes de las revisiones y acciones de mejora cuando se identifican brechas?
6. ¿Los cambios o reformas a Ley 2466 de 2025, (Reforma Laboral). Amplia modificación al CST (jornada, recargos, tercerización, teletrabajo, acoso, estabilidad, etc.). Impacta contratos, reglamento interno, comités, y gestión de horas. se registran oportunamente en la matriz legal y se comunican a los procesos impactados?</t>
  </si>
  <si>
    <t>Resolución 1843 de 2025 – MinTrabajo. Regula evaluaciones médicas ocupacionales e historia clínica, y fija lineamientos sobre pruebas de embarazo, VIH y alcoholemia/SPA (solo personal médico con licencia; integración al SG-SST y, si aplica, al PESV). Transición hasta 6-nov-2025; exigible desde 7-nov-2025</t>
  </si>
  <si>
    <t>1. ¿La empresa ha identificado los requisitos específicos de Resolución 1843 de 2025 – MinTrabajo. Regula evaluaciones médicas ocupacionales e historia clínica, y fija lineamientos sobre pruebas de embarazo, VIH y alcoholemia/SPA (solo personal médico con licencia; integración al SG-SST y, si aplica, al PESV). Transición hasta 6-nov-2025; exigible desde 7-nov-2025 que aplican a su actividad económica y tamaño?
2. ¿Se dispone de procedimientos, instructivos o formatos que permitan cumplir con las exigencias técnicas y administrativas de Resolución 1843 de 2025 – MinTrabajo. Regula evaluaciones médicas ocupacionales e historia clínica, y fija lineamientos sobre pruebas de embarazo, VIH y alcoholemia/SPA (solo personal médico con licencia; integración al SG-SST y, si aplica, al PESV). Transición hasta 6-nov-2025; exigible desde 7-nov-2025?
3. ¿Existen registros (informes, actas, listados, certificados, reportes en plataformas) que evidencien el cumplimiento de Resolución 1843 de 2025 – MinTrabajo. Regula evaluaciones médicas ocupacionales e historia clínica, y fija lineamientos sobre pruebas de embarazo, VIH y alcoholemia/SPA (solo personal médico con licencia; integración al SG-SST y, si aplica, al PESV). Transición hasta 6-nov-2025; exigible desde 7-nov-2025?
4. ¿Los responsables del SG-SST realizan seguimiento periódico a los ítems de Resolución 1843 de 2025 – MinTrabajo. Regula evaluaciones médicas ocupacionales e historia clínica, y fija lineamientos sobre pruebas de embarazo, VIH y alcoholemia/SPA (solo personal médico con licencia; integración al SG-SST y, si aplica, al PESV). Transición hasta 6-nov-2025; exigible desde 7-nov-2025 incluidos en la matriz legal y documentan los resultados?
5. ¿Se han comunicado los requisitos de Resolución 1843 de 2025 – MinTrabajo. Regula evaluaciones médicas ocupacionales e historia clínica, y fija lineamientos sobre pruebas de embarazo, VIH y alcoholemia/SPA (solo personal médico con licencia; integración al SG-SST y, si aplica, al PESV). Transición hasta 6-nov-2025; exigible desde 7-nov-2025 a los trabajadores, contratistas y proveedores que se ven impactados por esta norma?
6. ¿Las no conformidades asociadas al cumplimiento de Resolución 1843 de 2025 – MinTrabajo. Regula evaluaciones médicas ocupacionales e historia clínica, y fija lineamientos sobre pruebas de embarazo, VIH y alcoholemia/SPA (solo personal médico con licencia; integración al SG-SST y, si aplica, al PESV). Transición hasta 6-nov-2025; exigible desde 7-nov-2025 generan acciones correctivas o de mejora con responsables y fechas definidas?</t>
  </si>
  <si>
    <t xml:space="preserve">Circular 075 de 2025 – MinTrabajo. Directrices para prevención, identificación y atención del acoso laboral, acoso sexual y discriminación contra personas trans, no binarias y otras identidades de género en el ámbito laboral. Requiere actualización de políticas, protocolos y capacitación. </t>
  </si>
  <si>
    <t>1. ¿La empresa conoce y ha analizado los lineamientos impartidos en Circular 075 de 2025 – MinTrabajo. Directrices para prevención, identificación y atención del acoso laboral, acoso sexual y discriminación contra personas trans, no binarias y otras identidades de género en el ámbito laboral. Requiere actualización de políticas, protocolos y capacitación. frente a su actividad y condiciones de trabajo?
2. ¿Se han incorporado en los procedimientos internos las orientaciones y criterios definidos en Circular 075 de 2025 – MinTrabajo. Directrices para prevención, identificación y atención del acoso laboral, acoso sexual y discriminación contra personas trans, no binarias y otras identidades de género en el ámbito laboral. Requiere actualización de políticas, protocolos y capacitación.?
3. ¿Existe evidencia de comunicación interna (correos, circulares, actas) sobre el contenido de Circular 075 de 2025 – MinTrabajo. Directrices para prevención, identificación y atención del acoso laboral, acoso sexual y discriminación contra personas trans, no binarias y otras identidades de género en el ámbito laboral. Requiere actualización de políticas, protocolos y capacitación. a las áreas responsables?
4. ¿Se verifica en auditorías o revisiones internas el cumplimiento de las instrucciones dadas en Circular 075 de 2025 – MinTrabajo. Directrices para prevención, identificación y atención del acoso laboral, acoso sexual y discriminación contra personas trans, no binarias y otras identidades de género en el ámbito laboral. Requiere actualización de políticas, protocolos y capacitación.?
5. ¿Los cambios o nuevas circulares que complementan o sustituyen a Circular 075 de 2025 – MinTrabajo. Directrices para prevención, identificación y atención del acoso laboral, acoso sexual y discriminación contra personas trans, no binarias y otras identidades de género en el ámbito laboral. Requiere actualización de políticas, protocolos y capacitación. se actualizan oportunamente en la matriz legal?
6. ¿Se conservan registros de las decisiones tomadas a partir de Circular 075 de 2025 – MinTrabajo. Directrices para prevención, identificación y atención del acoso laboral, acoso sexual y discriminación contra personas trans, no binarias y otras identidades de género en el ámbito laboral. Requiere actualización de políticas, protocolos y capacitación. en relación con el SG-SST?</t>
  </si>
  <si>
    <t>Manipulación sustancias químicas</t>
  </si>
  <si>
    <t>Ley 55/93 Congreso de la República Por medio de la cual se aprueba el "Convenio No. 170 y la Recomendación número 177 sobre la Seguridad en la Utilización de los Productos Químicos en el trabajo art 1-3. Se requieren estándares de control para el riesgo químico en todas las etapas del ciclo de vida.</t>
  </si>
  <si>
    <t>1. ¿La empresa ha identificado y documentado en la matriz legal las obligaciones derivadas de Ley 55/93 Congreso de la República Por medio de la cual se aprueba el "Convenio No. 170 y la Recomendación número 177 sobre la Seguridad en la Utilización de los Productos Químicos en el trabajo art 1-3. Se requieren estándares de control para el riesgo químico en todas las etapas del ciclo de vida. y su relación con el SG-SST?
2. ¿Las políticas, procedimientos y programas del SG-SST incorporan de forma explícita los lineamientos establecidos en Ley 55/93 Congreso de la República Por medio de la cual se aprueba el "Convenio No. 170 y la Recomendación número 177 sobre la Seguridad en la Utilización de los Productos Químicos en el trabajo art 1-3. Se requieren estándares de control para el riesgo químico en todas las etapas del ciclo de vida.?
3. ¿Existe evidencia documental (actas, comunicaciones, registros, contratos, entre otros) que demuestre la aplicación de Ley 55/93 Congreso de la República Por medio de la cual se aprueba el "Convenio No. 170 y la Recomendación número 177 sobre la Seguridad en la Utilización de los Productos Químicos en el trabajo art 1-3. Se requieren estándares de control para el riesgo químico en todas las etapas del ciclo de vida. en la organización?
4. ¿Se ha socializado con trabajadores, líderes y responsables del SG-SST el contenido y alcance de Ley 55/93 Congreso de la República Por medio de la cual se aprueba el "Convenio No. 170 y la Recomendación número 177 sobre la Seguridad en la Utilización de los Productos Químicos en el trabajo art 1-3. Se requieren estándares de control para el riesgo químico en todas las etapas del ciclo de vida. y sus implicaciones en seguridad y salud en el trabajo?
5. ¿Se realiza seguimiento periódico al cumplimiento de Ley 55/93 Congreso de la República Por medio de la cual se aprueba el "Convenio No. 170 y la Recomendación número 177 sobre la Seguridad en la Utilización de los Productos Químicos en el trabajo art 1-3. Se requieren estándares de control para el riesgo químico en todas las etapas del ciclo de vida., dejando soportes de las revisiones y acciones de mejora cuando se identifican brechas?
6. ¿Los cambios o reformas a Ley 55/93 Congreso de la República Por medio de la cual se aprueba el "Convenio No. 170 y la Recomendación número 177 sobre la Seguridad en la Utilización de los Productos Químicos en el trabajo art 1-3. Se requieren estándares de control para el riesgo químico en todas las etapas del ciclo de vida. se registran oportunamente en la matriz legal y se comunican a los procesos impactados?</t>
  </si>
  <si>
    <t>Ley 9 de 1979 art. 101 al 104 prevenir todo daño proveniente de la producción manejo y almacenamiento de las sustancias químicas,  Decreto 1609 de 2002 (Art. 11 y 12), Decreto 4741 de 2005 (Art. 8,9 y 10). Resolución 1013 25-03-2008 se adoptan la Guía de atención integral de Seguridad y Salud en el Trabajo (GATISST)</t>
  </si>
  <si>
    <t>1. ¿La empresa ha identificado y documentado en la matriz legal las obligaciones derivadas de Ley 9 de 1979 art. 101 al 104 prevenir todo daño proveniente de la producción manejo y almacenamiento de las sustancias químicas, Decreto 1609 de 2002 (Art. 11 y 12), Decreto 4741 de 2005 (Art. 8,9 y 10). Resolución 1013 25-03-2008 se adoptan la Guía de atención integral de Seguridad y Salud en el Trabajo (GATISST) y su relación con el SG-SST?
2. ¿Las políticas, procedimientos y programas del SG-SST incorporan de forma explícita los lineamientos establecidos en Ley 9 de 1979 art. 101 al 104 prevenir todo daño proveniente de la producción manejo y almacenamiento de las sustancias químicas, Decreto 1609 de 2002 (Art. 11 y 12), Decreto 4741 de 2005 (Art. 8,9 y 10). Resolución 1013 25-03-2008 se adoptan la Guía de atención integral de Seguridad y Salud en el Trabajo (GATISST)?
3. ¿Existe evidencia documental (actas, comunicaciones, registros, contratos, entre otros) que demuestre la aplicación de Ley 9 de 1979 art. 101 al 104 prevenir todo daño proveniente de la producción manejo y almacenamiento de las sustancias químicas, Decreto 1609 de 2002 (Art. 11 y 12), Decreto 4741 de 2005 (Art. 8,9 y 10). Resolución 1013 25-03-2008 se adoptan la Guía de atención integral de Seguridad y Salud en el Trabajo (GATISST) en la organización?
4. ¿Se ha socializado con trabajadores, líderes y responsables del SG-SST el contenido y alcance de Ley 9 de 1979 art. 101 al 104 prevenir todo daño proveniente de la producción manejo y almacenamiento de las sustancias químicas, Decreto 1609 de 2002 (Art. 11 y 12), Decreto 4741 de 2005 (Art. 8,9 y 10). Resolución 1013 25-03-2008 se adoptan la Guía de atención integral de Seguridad y Salud en el Trabajo (GATISST) y sus implicaciones en seguridad y salud en el trabajo?
5. ¿Se realiza seguimiento periódico al cumplimiento de Ley 9 de 1979 art. 101 al 104 prevenir todo daño proveniente de la producción manejo y almacenamiento de las sustancias químicas, Decreto 1609 de 2002 (Art. 11 y 12), Decreto 4741 de 2005 (Art. 8,9 y 10). Resolución 1013 25-03-2008 se adoptan la Guía de atención integral de Seguridad y Salud en el Trabajo (GATISST), dejando soportes de las revisiones y acciones de mejora cuando se identifican brechas?
6. ¿Los cambios o reformas a Ley 9 de 1979 art. 101 al 104 prevenir todo daño proveniente de la producción manejo y almacenamiento de las sustancias químicas, Decreto 1609 de 2002 (Art. 11 y 12), Decreto 4741 de 2005 (Art. 8,9 y 10). Resolución 1013 25-03-2008 se adoptan la Guía de atención integral de Seguridad y Salud en el Trabajo (GATISST) se registran oportunamente en la matriz legal y se comunican a los procesos impactados?</t>
  </si>
  <si>
    <t>Decreto 1609 de 2002 (Art. 11 y 12)</t>
  </si>
  <si>
    <t>1. ¿El SG-SST incorpora los requisitos establecidos en Decreto 1609 de 2002 (Art. 11 y 12) dentro de sus procedimientos, estándares y controles operativos?
2. ¿Se cuenta con documentación actualizada (procedimientos, instructivos, protocolos) que evidencie la implementación de lo definido en Decreto 1609 de 2002 (Art. 11 y 12)?
3. ¿Se verifica de manera periódica el cumplimiento de Decreto 1609 de 2002 (Art. 11 y 12) en auditorías internas, inspecciones o revisiones de la matriz legal?
4. ¿Los responsables de cada proceso conocen las obligaciones derivadas de Decreto 1609 de 2002 (Art. 11 y 12) que les aplican y cuentan con los recursos para cumplirlas?
5. ¿Se conservan registros (informes, actas, listas de verificación, reportes) que demuestren la aplicación práctica de Decreto 1609 de 2002 (Art. 11 y 12) en la empresa?
6. ¿Las actualizaciones o derogatorias relacionadas con Decreto 1609 de 2002 (Art. 11 y 12) se reflejan oportunamente en la matriz legal y en los documentos del SG-SST?</t>
  </si>
  <si>
    <t>Decreto 4741 de 2005 (Art. 8,9 y 10). Resolución 1013 25-03-2008 se adoptan la Guía de atención integral de Seguridad y Salud en el Trabajo (GATISST)</t>
  </si>
  <si>
    <t>1. ¿El SG-SST incorpora los requisitos establecidos en Decreto 4741 de 2005 (Art. 8,9 y 10). Resolución 1013 25-03-2008 se adoptan la Guía de atención integral de Seguridad y Salud en el Trabajo (GATISST) dentro de sus procedimientos, estándares y controles operativos?
2. ¿Se cuenta con documentación actualizada (procedimientos, instructivos, protocolos) que evidencie la implementación de lo definido en Decreto 4741 de 2005 (Art. 8,9 y 10). Resolución 1013 25-03-2008 se adoptan la Guía de atención integral de Seguridad y Salud en el Trabajo (GATISST)?
3. ¿Se verifica de manera periódica el cumplimiento de Decreto 4741 de 2005 (Art. 8,9 y 10). Resolución 1013 25-03-2008 se adoptan la Guía de atención integral de Seguridad y Salud en el Trabajo (GATISST) en auditorías internas, inspecciones o revisiones de la matriz legal?
4. ¿Los responsables de cada proceso conocen las obligaciones derivadas de Decreto 4741 de 2005 (Art. 8,9 y 10). Resolución 1013 25-03-2008 se adoptan la Guía de atención integral de Seguridad y Salud en el Trabajo (GATISST) que les aplican y cuentan con los recursos para cumplirlas?
5. ¿Se conservan registros (informes, actas, listas de verificación, reportes) que demuestren la aplicación práctica de Decreto 4741 de 2005 (Art. 8,9 y 10). Resolución 1013 25-03-2008 se adoptan la Guía de atención integral de Seguridad y Salud en el Trabajo (GATISST) en la empresa?
6. ¿Las actualizaciones o derogatorias relacionadas con Decreto 4741 de 2005 (Art. 8,9 y 10). Resolución 1013 25-03-2008 se adoptan la Guía de atención integral de Seguridad y Salud en el Trabajo (GATISST) se reflejan oportunamente en la matriz legal y en los documentos del SG-SST?</t>
  </si>
  <si>
    <t>Resolución 1013 25-03-2008 se adoptan la Guía de atención integral de Seguridad y Salud en el Trabajo (GATISST)</t>
  </si>
  <si>
    <t>1. ¿La empresa ha identificado los requisitos específicos de Resolución 1013 25-03-2008 se adoptan la Guía de atención integral de Seguridad y Salud en el Trabajo (GATISST) que aplican a su actividad económica y tamaño?
2. ¿Se dispone de procedimientos, instructivos o formatos que permitan cumplir con las exigencias técnicas y administrativas de Resolución 1013 25-03-2008 se adoptan la Guía de atención integral de Seguridad y Salud en el Trabajo (GATISST)?
3. ¿Existen registros (informes, actas, listados, certificados, reportes en plataformas) que evidencien el cumplimiento de Resolución 1013 25-03-2008 se adoptan la Guía de atención integral de Seguridad y Salud en el Trabajo (GATISST)?
4. ¿Los responsables del SG-SST realizan seguimiento periódico a los ítems de Resolución 1013 25-03-2008 se adoptan la Guía de atención integral de Seguridad y Salud en el Trabajo (GATISST) incluidos en la matriz legal y documentan los resultados?
5. ¿Se han comunicado los requisitos de Resolución 1013 25-03-2008 se adoptan la Guía de atención integral de Seguridad y Salud en el Trabajo (GATISST) a los trabajadores, contratistas y proveedores que se ven impactados por esta norma?
6. ¿Las no conformidades asociadas al cumplimiento de Resolución 1013 25-03-2008 se adoptan la Guía de atención integral de Seguridad y Salud en el Trabajo (GATISST) generan acciones correctivas o de mejora con responsables y fechas definidas?</t>
  </si>
  <si>
    <t xml:space="preserve">Ley 320/1996 SGA,para asma ocupacional, trabajadores expuestos a benceno, plaguicidas inhibidores de la colinesterasa, dermatitis de contacto y cáncer pulmonar relacionados con el trabajo.. Decreto 1477 del 2014 tabla de Enfermedades Laborales. </t>
  </si>
  <si>
    <t>1. ¿La empresa ha identificado y documentado en la matriz legal las obligaciones derivadas de Ley 320/1996 SGA,para asma ocupacional, trabajadores expuestos a benceno, plaguicidas inhibidores de la colinesterasa, dermatitis de contacto y cáncer pulmonar relacionados con el trabajo.. Decreto 1477 del 2014 tabla de Enfermedades Laborales. y su relación con el SG-SST?
2. ¿Las políticas, procedimientos y programas del SG-SST incorporan de forma explícita los lineamientos establecidos en Ley 320/1996 SGA,para asma ocupacional, trabajadores expuestos a benceno, plaguicidas inhibidores de la colinesterasa, dermatitis de contacto y cáncer pulmonar relacionados con el trabajo.. Decreto 1477 del 2014 tabla de Enfermedades Laborales.?
3. ¿Existe evidencia documental (actas, comunicaciones, registros, contratos, entre otros) que demuestre la aplicación de Ley 320/1996 SGA,para asma ocupacional, trabajadores expuestos a benceno, plaguicidas inhibidores de la colinesterasa, dermatitis de contacto y cáncer pulmonar relacionados con el trabajo.. Decreto 1477 del 2014 tabla de Enfermedades Laborales. en la organización?
4. ¿Se ha socializado con trabajadores, líderes y responsables del SG-SST el contenido y alcance de Ley 320/1996 SGA,para asma ocupacional, trabajadores expuestos a benceno, plaguicidas inhibidores de la colinesterasa, dermatitis de contacto y cáncer pulmonar relacionados con el trabajo.. Decreto 1477 del 2014 tabla de Enfermedades Laborales. y sus implicaciones en seguridad y salud en el trabajo?
5. ¿Se realiza seguimiento periódico al cumplimiento de Ley 320/1996 SGA,para asma ocupacional, trabajadores expuestos a benceno, plaguicidas inhibidores de la colinesterasa, dermatitis de contacto y cáncer pulmonar relacionados con el trabajo.. Decreto 1477 del 2014 tabla de Enfermedades Laborales., dejando soportes de las revisiones y acciones de mejora cuando se identifican brechas?
6. ¿Los cambios o reformas a Ley 320/1996 SGA,para asma ocupacional, trabajadores expuestos a benceno, plaguicidas inhibidores de la colinesterasa, dermatitis de contacto y cáncer pulmonar relacionados con el trabajo.. Decreto 1477 del 2014 tabla de Enfermedades Laborales. se registran oportunamente en la matriz legal y se comunican a los procesos impactados?</t>
  </si>
  <si>
    <t>1. Implementar el SGA para clasificación y etiquetado de químicos (Res. 1890/2025).
2. Mantener FDS vigentes y accesibles para cada sustancia y mezcla.
3. Etiquetar recipientes y áreas conforme a pictogramas y frases H/P.
4. Capacitar en interpretación de SGA y respuesta a emergencias.
5. Establecer controles de ingeniería y EPP para manipulación segura.
6. Verificar registros documentales de cumplimiento del requisito.
7. Confirmar actualización de procedimientos y formatos relacionados.
8. Revisar trazabilidad de acciones preventivas y correctivas.</t>
  </si>
  <si>
    <t>1. Aplicar estándares mínimos según tamaño y riesgo (Res. 0312/2019).
2. Realizar autoevaluación anual y conservar el formato oficial.
3. Formular e implementar plan de mejora con responsables, fechas e indicadores.
4. Mantener evidencias (actas, capacitaciones, inspecciones, indicadores).
5. Verificar registros documentales de cumplimiento del requisito.
6. Confirmar actualización de procedimientos y formatos relacionados.
7. Revisar trazabilidad de acciones preventivas y correctivas.</t>
  </si>
  <si>
    <t>Resolución 773 de 7-04-2021 Min trabajo Acciones que deben desarrollar los empleadores para aplicar el SGA (art. 21)</t>
  </si>
  <si>
    <t>1. ¿La empresa ha identificado los requisitos específicos de Resolución 773 de 7-04-2021 Min trabajo Acciones que deben desarrollar los empleadores para aplicar el SGA (art. 21) que aplican a su actividad económica y tamaño?
2. ¿Se dispone de procedimientos, instructivos o formatos que permitan cumplir con las exigencias técnicas y administrativas de Resolución 773 de 7-04-2021 Min trabajo Acciones que deben desarrollar los empleadores para aplicar el SGA (art. 21)?
3. ¿Existen registros (informes, actas, listados, certificados, reportes en plataformas) que evidencien el cumplimiento de Resolución 773 de 7-04-2021 Min trabajo Acciones que deben desarrollar los empleadores para aplicar el SGA (art. 21)?
4. ¿Los responsables del SG-SST realizan seguimiento periódico a los ítems de Resolución 773 de 7-04-2021 Min trabajo Acciones que deben desarrollar los empleadores para aplicar el SGA (art. 21) incluidos en la matriz legal y documentan los resultados?
5. ¿Se han comunicado los requisitos de Resolución 773 de 7-04-2021 Min trabajo Acciones que deben desarrollar los empleadores para aplicar el SGA (art. 21) a los trabajadores, contratistas y proveedores que se ven impactados por esta norma?
6. ¿Las no conformidades asociadas al cumplimiento de Resolución 773 de 7-04-2021 Min trabajo Acciones que deben desarrollar los empleadores para aplicar el SGA (art. 21) generan acciones correctivas o de mejora con responsables y fechas definidas?</t>
  </si>
  <si>
    <t>Resolución 2851 del 22-08-2023 Revoca la R- 3032 Guía para la identificación de actividades de alto riesgo definidas en el art 2 del D. 2090 de 2002</t>
  </si>
  <si>
    <t>1. ¿La empresa ha identificado los requisitos específicos de Resolución 2851 del 22-08-2023 Revoca la R- 3032 Guía para la identificación de actividades de alto riesgo definidas en el art 2 del D. 2090 de 2002 que aplican a su actividad económica y tamaño?
2. ¿Se dispone de procedimientos, instructivos o formatos que permitan cumplir con las exigencias técnicas y administrativas de Resolución 2851 del 22-08-2023 Revoca la R- 3032 Guía para la identificación de actividades de alto riesgo definidas en el art 2 del D. 2090 de 2002?
3. ¿Existen registros (informes, actas, listados, certificados, reportes en plataformas) que evidencien el cumplimiento de Resolución 2851 del 22-08-2023 Revoca la R- 3032 Guía para la identificación de actividades de alto riesgo definidas en el art 2 del D. 2090 de 2002?
4. ¿Los responsables del SG-SST realizan seguimiento periódico a los ítems de Resolución 2851 del 22-08-2023 Revoca la R- 3032 Guía para la identificación de actividades de alto riesgo definidas en el art 2 del D. 2090 de 2002 incluidos en la matriz legal y documentan los resultados?
5. ¿Se han comunicado los requisitos de Resolución 2851 del 22-08-2023 Revoca la R- 3032 Guía para la identificación de actividades de alto riesgo definidas en el art 2 del D. 2090 de 2002 a los trabajadores, contratistas y proveedores que se ven impactados por esta norma?
6. ¿Las no conformidades asociadas al cumplimiento de Resolución 2851 del 22-08-2023 Revoca la R- 3032 Guía para la identificación de actividades de alto riesgo definidas en el art 2 del D. 2090 de 2002 generan acciones correctivas o de mejora con responsables y fechas definidas?</t>
  </si>
  <si>
    <t xml:space="preserve">Resolución 0799 de 2025 – MADS (BUPA). Reglamenta los Sistemas de Recolección y Gestión de Baterías Usadas Plomo-Ácido (BUPA); deroga esquemas previos. Entra a regir el 1-ene-2026 (preparación en 2025). Afecta flotas, montacargas, grupos electrógenos y manejo de residuos peligrosos. </t>
  </si>
  <si>
    <t>1. ¿La empresa ha identificado los requisitos específicos de Resolución 0799 de 2025 – MADS (BUPA). Reglamenta los Sistemas de Recolección y Gestión de Baterías Usadas Plomo-Ácido (BUPA); deroga esquemas previos. Entra a regir el 1-ene-2026 (preparación en 2025). Afecta flotas, montacargas, grupos electrógenos y manejo de residuos peligrosos. que aplican a su actividad económica y tamaño?
2. ¿Se dispone de procedimientos, instructivos o formatos que permitan cumplir con las exigencias técnicas y administrativas de Resolución 0799 de 2025 – MADS (BUPA). Reglamenta los Sistemas de Recolección y Gestión de Baterías Usadas Plomo-Ácido (BUPA); deroga esquemas previos. Entra a regir el 1-ene-2026 (preparación en 2025). Afecta flotas, montacargas, grupos electrógenos y manejo de residuos peligrosos.?
3. ¿Existen registros (informes, actas, listados, certificados, reportes en plataformas) que evidencien el cumplimiento de Resolución 0799 de 2025 – MADS (BUPA). Reglamenta los Sistemas de Recolección y Gestión de Baterías Usadas Plomo-Ácido (BUPA); deroga esquemas previos. Entra a regir el 1-ene-2026 (preparación en 2025). Afecta flotas, montacargas, grupos electrógenos y manejo de residuos peligrosos.?
4. ¿Los responsables del SG-SST realizan seguimiento periódico a los ítems de Resolución 0799 de 2025 – MADS (BUPA). Reglamenta los Sistemas de Recolección y Gestión de Baterías Usadas Plomo-Ácido (BUPA); deroga esquemas previos. Entra a regir el 1-ene-2026 (preparación en 2025). Afecta flotas, montacargas, grupos electrógenos y manejo de residuos peligrosos. incluidos en la matriz legal y documentan los resultados?
5. ¿Se han comunicado los requisitos de Resolución 0799 de 2025 – MADS (BUPA). Reglamenta los Sistemas de Recolección y Gestión de Baterías Usadas Plomo-Ácido (BUPA); deroga esquemas previos. Entra a regir el 1-ene-2026 (preparación en 2025). Afecta flotas, montacargas, grupos electrógenos y manejo de residuos peligrosos. a los trabajadores, contratistas y proveedores que se ven impactados por esta norma?
6. ¿Las no conformidades asociadas al cumplimiento de Resolución 0799 de 2025 – MADS (BUPA). Reglamenta los Sistemas de Recolección y Gestión de Baterías Usadas Plomo-Ácido (BUPA); deroga esquemas previos. Entra a regir el 1-ene-2026 (preparación en 2025). Afecta flotas, montacargas, grupos electrógenos y manejo de residuos peligrosos. generan acciones correctivas o de mejora con responsables y fechas definidas?</t>
  </si>
  <si>
    <t>Gases  y Material particulado</t>
  </si>
  <si>
    <t>Ley 9 de 1979 (Art. Art  41 - 49, 98)</t>
  </si>
  <si>
    <t>1. ¿La empresa ha identificado y documentado en la matriz legal las obligaciones derivadas de Ley 9 de 1979 (Art. Art 41 - 49, 98) y su relación con el SG-SST?
2. ¿Las políticas, procedimientos y programas del SG-SST incorporan de forma explícita los lineamientos establecidos en Ley 9 de 1979 (Art. Art 41 - 49, 98)?
3. ¿Existe evidencia documental (actas, comunicaciones, registros, contratos, entre otros) que demuestre la aplicación de Ley 9 de 1979 (Art. Art 41 - 49, 98) en la organización?
4. ¿Se ha socializado con trabajadores, líderes y responsables del SG-SST el contenido y alcance de Ley 9 de 1979 (Art. Art 41 - 49, 98) y sus implicaciones en seguridad y salud en el trabajo?
5. ¿Se realiza seguimiento periódico al cumplimiento de Ley 9 de 1979 (Art. Art 41 - 49, 98), dejando soportes de las revisiones y acciones de mejora cuando se identifican brechas?
6. ¿Los cambios o reformas a Ley 9 de 1979 (Art. Art 41 - 49, 98) se registran oportunamente en la matriz legal y se comunican a los procesos impactados?</t>
  </si>
  <si>
    <t>Resolución 2844 de 2007 (Gatiso para asma ocupacional, cáncer pulmonar, neumoconiosis). Decreto 1477 del 2014 tabla de Enfermedades Laborales.  Resolución 07/11 controles al cristalito en el movimientos de tierra, Decerto 1072/15 art. 2.2.4.6.15, 23 y 24</t>
  </si>
  <si>
    <t>1. ¿La empresa ha identificado los requisitos específicos de Resolución 2844 de 2007 (Gatiso para asma ocupacional, cáncer pulmonar, neumoconiosis). Decreto 1477 del 2014 tabla de Enfermedades Laborales. Resolución 07/11 controles al cristalito en el movimientos de tierra, Decerto 1072/15 art. 2.2.4.6.15, 23 y 24 que aplican a su actividad económica y tamaño?
2. ¿Se dispone de procedimientos, instructivos o formatos que permitan cumplir con las exigencias técnicas y administrativas de Resolución 2844 de 2007 (Gatiso para asma ocupacional, cáncer pulmonar, neumoconiosis). Decreto 1477 del 2014 tabla de Enfermedades Laborales. Resolución 07/11 controles al cristalito en el movimientos de tierra, Decerto 1072/15 art. 2.2.4.6.15, 23 y 24?
3. ¿Existen registros (informes, actas, listados, certificados, reportes en plataformas) que evidencien el cumplimiento de Resolución 2844 de 2007 (Gatiso para asma ocupacional, cáncer pulmonar, neumoconiosis). Decreto 1477 del 2014 tabla de Enfermedades Laborales. Resolución 07/11 controles al cristalito en el movimientos de tierra, Decerto 1072/15 art. 2.2.4.6.15, 23 y 24?
4. ¿Los responsables del SG-SST realizan seguimiento periódico a los ítems de Resolución 2844 de 2007 (Gatiso para asma ocupacional, cáncer pulmonar, neumoconiosis). Decreto 1477 del 2014 tabla de Enfermedades Laborales. Resolución 07/11 controles al cristalito en el movimientos de tierra, Decerto 1072/15 art. 2.2.4.6.15, 23 y 24 incluidos en la matriz legal y documentan los resultados?
5. ¿Se han comunicado los requisitos de Resolución 2844 de 2007 (Gatiso para asma ocupacional, cáncer pulmonar, neumoconiosis). Decreto 1477 del 2014 tabla de Enfermedades Laborales. Resolución 07/11 controles al cristalito en el movimientos de tierra, Decerto 1072/15 art. 2.2.4.6.15, 23 y 24 a los trabajadores, contratistas y proveedores que se ven impactados por esta norma?
6. ¿Las no conformidades asociadas al cumplimiento de Resolución 2844 de 2007 (Gatiso para asma ocupacional, cáncer pulmonar, neumoconiosis). Decreto 1477 del 2014 tabla de Enfermedades Laborales. Resolución 07/11 controles al cristalito en el movimientos de tierra, Decerto 1072/15 art. 2.2.4.6.15, 23 y 24 generan acciones correctivas o de mejora con responsables y fechas definidas?</t>
  </si>
  <si>
    <t>Resolución 07/11 controles al cristalito en el movimientos de tierra</t>
  </si>
  <si>
    <t>1. ¿La empresa ha identificado los requisitos específicos de Resolución 07/11 controles al cristalito en el movimientos de tierra que aplican a su actividad económica y tamaño?
2. ¿Se dispone de procedimientos, instructivos o formatos que permitan cumplir con las exigencias técnicas y administrativas de Resolución 07/11 controles al cristalito en el movimientos de tierra?
3. ¿Existen registros (informes, actas, listados, certificados, reportes en plataformas) que evidencien el cumplimiento de Resolución 07/11 controles al cristalito en el movimientos de tierra?
4. ¿Los responsables del SG-SST realizan seguimiento periódico a los ítems de Resolución 07/11 controles al cristalito en el movimientos de tierra incluidos en la matriz legal y documentan los resultados?
5. ¿Se han comunicado los requisitos de Resolución 07/11 controles al cristalito en el movimientos de tierra a los trabajadores, contratistas y proveedores que se ven impactados por esta norma?
6. ¿Las no conformidades asociadas al cumplimiento de Resolución 07/11 controles al cristalito en el movimientos de tierra generan acciones correctivas o de mejora con responsables y fechas definidas?</t>
  </si>
  <si>
    <t>Resolución 2467 del 1-07-2022 Min trabajo reglamento de HS para prevención y control del riesgo por exposición a sílice cristalina (Art 5 Vigilancia y cap 7 de la Guía Técnica)</t>
  </si>
  <si>
    <t>1. ¿La empresa ha identificado los requisitos específicos de Resolución 2467 del 1-07-2022 Min trabajo reglamento de HS para prevención y control del riesgo por exposición a sílice cristalina (Art 5 Vigilancia y cap 7 de la Guía Técnica) que aplican a su actividad económica y tamaño?
2. ¿Se dispone de procedimientos, instructivos o formatos que permitan cumplir con las exigencias técnicas y administrativas de Resolución 2467 del 1-07-2022 Min trabajo reglamento de HS para prevención y control del riesgo por exposición a sílice cristalina (Art 5 Vigilancia y cap 7 de la Guía Técnica)?
3. ¿Existen registros (informes, actas, listados, certificados, reportes en plataformas) que evidencien el cumplimiento de Resolución 2467 del 1-07-2022 Min trabajo reglamento de HS para prevención y control del riesgo por exposición a sílice cristalina (Art 5 Vigilancia y cap 7 de la Guía Técnica)?
4. ¿Los responsables del SG-SST realizan seguimiento periódico a los ítems de Resolución 2467 del 1-07-2022 Min trabajo reglamento de HS para prevención y control del riesgo por exposición a sílice cristalina (Art 5 Vigilancia y cap 7 de la Guía Técnica) incluidos en la matriz legal y documentan los resultados?
5. ¿Se han comunicado los requisitos de Resolución 2467 del 1-07-2022 Min trabajo reglamento de HS para prevención y control del riesgo por exposición a sílice cristalina (Art 5 Vigilancia y cap 7 de la Guía Técnica) a los trabajadores, contratistas y proveedores que se ven impactados por esta norma?
6. ¿Las no conformidades asociadas al cumplimiento de Resolución 2467 del 1-07-2022 Min trabajo reglamento de HS para prevención y control del riesgo por exposición a sílice cristalina (Art 5 Vigilancia y cap 7 de la Guía Técnica) generan acciones correctivas o de mejora con responsables y fechas definidas?</t>
  </si>
  <si>
    <t>ACCIDENTES MAYORES</t>
  </si>
  <si>
    <t>Decreto 1347 del 26-10-2021 Por el cual se adiciona el Capítulo 12 al Título 4 de la Parte 2 del Libro 2 del Decreto 1072 de 2015, Decreto Único Reglamentario del Sector Trabajo, para adoptar el Programa de Prevención de Accidentes Mayores - PPAM   (ARTÍCULO 2.2.4.12.6)</t>
  </si>
  <si>
    <t>1. ¿El SG-SST incorpora los requisitos establecidos en Decreto 1347 del 26-10-2021 Por el cual se adiciona el Capítulo 12 al Título 4 de la Parte 2 del Libro 2 del Decreto 1072 de 2015, Decreto Único Reglamentario del Sector Trabajo, para adoptar el Programa de Prevención de Accidentes Mayores - PPAM (ARTÍCULO 2.2.4.12.6) dentro de sus procedimientos, estándares y controles operativos?
2. ¿Se cuenta con documentación actualizada (procedimientos, instructivos, protocolos) que evidencie la implementación de lo definido en Decreto 1347 del 26-10-2021 Por el cual se adiciona el Capítulo 12 al Título 4 de la Parte 2 del Libro 2 del Decreto 1072 de 2015, Decreto Único Reglamentario del Sector Trabajo, para adoptar el Programa de Prevención de Accidentes Mayores - PPAM (ARTÍCULO 2.2.4.12.6)?
3. ¿Se verifica de manera periódica el cumplimiento de Decreto 1347 del 26-10-2021 Por el cual se adiciona el Capítulo 12 al Título 4 de la Parte 2 del Libro 2 del Decreto 1072 de 2015, Decreto Único Reglamentario del Sector Trabajo, para adoptar el Programa de Prevención de Accidentes Mayores - PPAM (ARTÍCULO 2.2.4.12.6) en auditorías internas, inspecciones o revisiones de la matriz legal?
4. ¿Los responsables de cada proceso conocen las obligaciones derivadas de Decreto 1347 del 26-10-2021 Por el cual se adiciona el Capítulo 12 al Título 4 de la Parte 2 del Libro 2 del Decreto 1072 de 2015, Decreto Único Reglamentario del Sector Trabajo, para adoptar el Programa de Prevención de Accidentes Mayores - PPAM (ARTÍCULO 2.2.4.12.6) que les aplican y cuentan con los recursos para cumplirlas?
5. ¿Se conservan registros (informes, actas, listas de verificación, reportes) que demuestren la aplicación práctica de Decreto 1347 del 26-10-2021 Por el cual se adiciona el Capítulo 12 al Título 4 de la Parte 2 del Libro 2 del Decreto 1072 de 2015, Decreto Único Reglamentario del Sector Trabajo, para adoptar el Programa de Prevención de Accidentes Mayores - PPAM (ARTÍCULO 2.2.4.12.6) en la empresa?
6. ¿Las actualizaciones o derogatorias relacionadas con Decreto 1347 del 26-10-2021 Por el cual se adiciona el Capítulo 12 al Título 4 de la Parte 2 del Libro 2 del Decreto 1072 de 2015, Decreto Único Reglamentario del Sector Trabajo, para adoptar el Programa de Prevención de Accidentes Mayores - PPAM (ARTÍCULO 2.2.4.12.6) se reflejan oportunamente en la matriz legal y en los documentos del SG-SST?</t>
  </si>
  <si>
    <t>1. Formalizar política de SST firmada por alta dirección.
2. Ejecutar ciclo PHVA en todo el SG-SST con metas y recursos.
3. Designar responsable del SG-SST con licencia vigente.
4. Realizar evaluaciones inicial, anual y de seguimiento del SG-SST.
5. Investigar incidentes/accidentes y ejecutar acciones correctivas.
6. Mantener plan anual de trabajo y seguimiento.
7. Verificar registros documentales de cumplimiento del requisito.
8. Confirmar actualización de procedimientos y formatos relacionados.
9. Revisar trazabilidad de acciones preventivas y correctivas.</t>
  </si>
  <si>
    <t>Resolución 4979 del 7-11-2024 Mintrabajo Reglamenta el procedimineto para el registro de instalaciones clasificadas para el programa de prevención de accidentes mayores</t>
  </si>
  <si>
    <t>1. ¿La empresa ha identificado los requisitos específicos de Resolución 4979 del 7-11-2024 Mintrabajo Reglamenta el procedimineto para el registro de instalaciones clasificadas para el programa de prevención de accidentes mayores que aplican a su actividad económica y tamaño?
2. ¿Se dispone de procedimientos, instructivos o formatos que permitan cumplir con las exigencias técnicas y administrativas de Resolución 4979 del 7-11-2024 Mintrabajo Reglamenta el procedimineto para el registro de instalaciones clasificadas para el programa de prevención de accidentes mayores?
3. ¿Existen registros (informes, actas, listados, certificados, reportes en plataformas) que evidencien el cumplimiento de Resolución 4979 del 7-11-2024 Mintrabajo Reglamenta el procedimineto para el registro de instalaciones clasificadas para el programa de prevención de accidentes mayores?
4. ¿Los responsables del SG-SST realizan seguimiento periódico a los ítems de Resolución 4979 del 7-11-2024 Mintrabajo Reglamenta el procedimineto para el registro de instalaciones clasificadas para el programa de prevención de accidentes mayores incluidos en la matriz legal y documentan los resultados?
5. ¿Se han comunicado los requisitos de Resolución 4979 del 7-11-2024 Mintrabajo Reglamenta el procedimineto para el registro de instalaciones clasificadas para el programa de prevención de accidentes mayores a los trabajadores, contratistas y proveedores que se ven impactados por esta norma?
6. ¿Las no conformidades asociadas al cumplimiento de Resolución 4979 del 7-11-2024 Mintrabajo Reglamenta el procedimineto para el registro de instalaciones clasificadas para el programa de prevención de accidentes mayores generan acciones correctivas o de mejora con responsables y fechas definidas?</t>
  </si>
  <si>
    <t>Resolución 5492 3-12-2024 Por la cual se reglamenta el SG-SST Para la preve de acci mayores en las isntalaciones clasificadas</t>
  </si>
  <si>
    <t>1. ¿La empresa ha identificado los requisitos específicos de Resolución 5492 3-12-2024 Por la cual se reglamenta el SG-SST Para la preve de acci mayores en las isntalaciones clasificadas que aplican a su actividad económica y tamaño?
2. ¿Se dispone de procedimientos, instructivos o formatos que permitan cumplir con las exigencias técnicas y administrativas de Resolución 5492 3-12-2024 Por la cual se reglamenta el SG-SST Para la preve de acci mayores en las isntalaciones clasificadas?
3. ¿Existen registros (informes, actas, listados, certificados, reportes en plataformas) que evidencien el cumplimiento de Resolución 5492 3-12-2024 Por la cual se reglamenta el SG-SST Para la preve de acci mayores en las isntalaciones clasificadas?
4. ¿Los responsables del SG-SST realizan seguimiento periódico a los ítems de Resolución 5492 3-12-2024 Por la cual se reglamenta el SG-SST Para la preve de acci mayores en las isntalaciones clasificadas incluidos en la matriz legal y documentan los resultados?
5. ¿Se han comunicado los requisitos de Resolución 5492 3-12-2024 Por la cual se reglamenta el SG-SST Para la preve de acci mayores en las isntalaciones clasificadas a los trabajadores, contratistas y proveedores que se ven impactados por esta norma?
6. ¿Las no conformidades asociadas al cumplimiento de Resolución 5492 3-12-2024 Por la cual se reglamenta el SG-SST Para la preve de acci mayores en las isntalaciones clasificadas generan acciones correctivas o de mejora con responsables y fechas definidas?</t>
  </si>
  <si>
    <t>Resolución 1890 del 2-05-2025  Reglamenta el procedimiento para el registro de incidentes y reporte de accidentes mayores" tercera resolución reglamentaria del Decreto 1347 de 2021 relacionada con el Programa de Prevención de Accidente Mayor</t>
  </si>
  <si>
    <t>1. ¿La empresa ha identificado los requisitos específicos de Resolución 1890 del 2-05-2025 Reglamenta el procedimiento para el registro de incidentes y reporte de accidentes mayores" tercera resolución reglamentaria del Decreto 1347 de 2021 relacionada con el Programa de Prevención de Accidente Mayor que aplican a su actividad económica y tamaño?
2. ¿Se dispone de procedimientos, instructivos o formatos que permitan cumplir con las exigencias técnicas y administrativas de Resolución 1890 del 2-05-2025 Reglamenta el procedimiento para el registro de incidentes y reporte de accidentes mayores" tercera resolución reglamentaria del Decreto 1347 de 2021 relacionada con el Programa de Prevención de Accidente Mayor?
3. ¿Existen registros (informes, actas, listados, certificados, reportes en plataformas) que evidencien el cumplimiento de Resolución 1890 del 2-05-2025 Reglamenta el procedimiento para el registro de incidentes y reporte de accidentes mayores" tercera resolución reglamentaria del Decreto 1347 de 2021 relacionada con el Programa de Prevención de Accidente Mayor?
4. ¿Los responsables del SG-SST realizan seguimiento periódico a los ítems de Resolución 1890 del 2-05-2025 Reglamenta el procedimiento para el registro de incidentes y reporte de accidentes mayores" tercera resolución reglamentaria del Decreto 1347 de 2021 relacionada con el Programa de Prevención de Accidente Mayor incluidos en la matriz legal y documentan los resultados?
5. ¿Se han comunicado los requisitos de Resolución 1890 del 2-05-2025 Reglamenta el procedimiento para el registro de incidentes y reporte de accidentes mayores" tercera resolución reglamentaria del Decreto 1347 de 2021 relacionada con el Programa de Prevención de Accidente Mayor a los trabajadores, contratistas y proveedores que se ven impactados por esta norma?
6. ¿Las no conformidades asociadas al cumplimiento de Resolución 1890 del 2-05-2025 Reglamenta el procedimiento para el registro de incidentes y reporte de accidentes mayores" tercera resolución reglamentaria del Decreto 1347 de 2021 relacionada con el Programa de Prevención de Accidente Mayor generan acciones correctivas o de mejora con responsables y fechas definidas?</t>
  </si>
  <si>
    <t>IDENTIFICACION OTROS REQUISITOS</t>
  </si>
  <si>
    <t xml:space="preserve">Versión: 
Fecha: </t>
  </si>
  <si>
    <t>ENTIDAD</t>
  </si>
  <si>
    <t xml:space="preserve">OTROS REQUISITOS (VOLUNTARIOS)
 QUE LA EMPRESA HAYA SUSCRITO </t>
  </si>
  <si>
    <t>RESPONSABLE DE COORDINAR  
CUMPLIMIENTO Y/O ENTREGA 
DE INFORME</t>
  </si>
  <si>
    <t xml:space="preserve">DESCRIPCION </t>
  </si>
  <si>
    <t>Evaluación 2025</t>
  </si>
  <si>
    <t>Evaluación 2026</t>
  </si>
  <si>
    <t>Puntaje Máximo</t>
  </si>
  <si>
    <t>Puntaje obtenido</t>
  </si>
  <si>
    <t>% Aplicación</t>
  </si>
  <si>
    <t>ICONTEC</t>
  </si>
  <si>
    <t>NTC  1461 higiene y seguridad</t>
  </si>
  <si>
    <t>SST</t>
  </si>
  <si>
    <t xml:space="preserve">Colores y señales de seguridad. establece definiciones, colores de seguridad,  colores de contraste, diseño de símbolos gráficos y clasificación de señales. </t>
  </si>
  <si>
    <t xml:space="preserve"> NTC 2885 Extintores portátiles</t>
  </si>
  <si>
    <t>Aplica a la selección, instalación, inspección, mantenimiento y ensayo de  equipo portátil para extinción de incendio.</t>
  </si>
  <si>
    <t>ICONTEC NTC 3458 higiene y seguridad</t>
  </si>
  <si>
    <t>Identificación de tuberías y servicios. contiene definiciones, clasificación por colores, designación y precauciones.</t>
  </si>
  <si>
    <t>NTC  6072</t>
  </si>
  <si>
    <t>CENTROS DE FORMACIÓN Y ENTRENAMIENTO EN PROTECCIÓN CONTRA CAÍDAS PARA TRABAJO EN ALTURAS. REQUISITOS</t>
  </si>
  <si>
    <t>NTC 3701</t>
  </si>
  <si>
    <t>Guía para la clasificación, registro, y estadísticas de accidentes del trabajo y enfermedades profesionales</t>
  </si>
  <si>
    <t>GTC45</t>
  </si>
  <si>
    <t>GUÍA PARA LA IDENTIFICACIÓN DE LOS PELIGROS Y LA VALORACIÓN DE LOS RIESGOS EN SEGURIDAD Y SALUD OCUPACIONAL</t>
  </si>
  <si>
    <t xml:space="preserve"> NTC 5807 </t>
  </si>
  <si>
    <t xml:space="preserve">Cintas retrorreflectivas para uso en vehículos automotores y sus
remolques que se fabriquen, importen o comercialicen en Colombia </t>
  </si>
  <si>
    <t>ANSI</t>
  </si>
  <si>
    <t>ANSI Z 89.1 Cabeza, ANSI Z-87 visual, ANSI Z-3.19  auditiva y las de necesidad empresa</t>
  </si>
  <si>
    <t xml:space="preserve">Normas Nacionales Americanas Para la protección industrial </t>
  </si>
  <si>
    <t>ISO</t>
  </si>
  <si>
    <t>Sistemas de gestión de la seguridad y salud en el trabajo. Requisitos con orientación para su uso</t>
  </si>
  <si>
    <t>31000/2011</t>
  </si>
  <si>
    <t>gestión del riesgo</t>
  </si>
  <si>
    <t>9001/15</t>
  </si>
  <si>
    <t>Sistema de gestión de la calidad</t>
  </si>
  <si>
    <t>14001/15</t>
  </si>
  <si>
    <t>Sistema de gestión ambiental</t>
  </si>
  <si>
    <t>NOTA: La calificación de estos requisitos no afecta en indicador de la evaluación de los requisitos legales de SST</t>
  </si>
  <si>
    <t>Decreto 1072 de 2015 Artículo 2.2.4.11.5. Criterio de proporcionalidad y razonabilidad para la cuantía de
la sanción a los empleadores. En unidades de valor tributario UVT (49.799)</t>
  </si>
  <si>
    <t>TIPO DE EMPRESA</t>
  </si>
  <si>
    <t>NÚMERO DE TRABAJADORES</t>
  </si>
  <si>
    <t>Activos totales en número de UVT</t>
  </si>
  <si>
    <t>Ley 1562 - Art. 13, inciso 2</t>
  </si>
  <si>
    <t>Ley 1562 - Art. 30
1. Verificar registros documentales de cumplimiento del requisito.
2. Confirmar actualización de procedimientos y formatos relacionados.
3. Revisar trazabilidad de acciones preventivas y correctivas.</t>
  </si>
  <si>
    <t>Ley 1562 - Art. 13, inciso 4</t>
  </si>
  <si>
    <t>Incumplimiento de las normas de SST y riesgos laborales 
(26,31 a 13, 156,5 UVT) Vs $</t>
  </si>
  <si>
    <t>Omisión en el reporte de Accidentes de Trabajo y/o Enfermedad Laboral
(de 26,31 a 26,313,02 UVT)
1. Verificar registros documentales de cumplimiento del requisito.
2. Confirmar actualización de procedimientos y formatos relacionados.
3. Revisar trazabilidad de acciones preventivas y correctivas.</t>
  </si>
  <si>
    <t>Accidentes de Trabajo que ocasionen la muerte del trabajador, por incumplimiento de las normas de Seguridad y Salud en el Trabajo y Riesgos Laborales
(de 526,26 a 26,313,02 UVT)</t>
  </si>
  <si>
    <t>MICRO</t>
  </si>
  <si>
    <t>Hasta 10</t>
  </si>
  <si>
    <t>&lt; 13.156,51 UVT</t>
  </si>
  <si>
    <t>Valor de multas en UVT y  en pesos</t>
  </si>
  <si>
    <t>De 26,31 hasta 131,57</t>
  </si>
  <si>
    <t>De 26,31 hasta 526, 26
1. Verificar registros documentales de cumplimiento del requisito.
2. Confirmar actualización de procedimientos y formatos relacionados.
3. Revisar trazabilidad de acciones preventivas y correctivas.</t>
  </si>
  <si>
    <t>De  526, 26 hasta 631,51</t>
  </si>
  <si>
    <t xml:space="preserve">  $  1.310.000  a 6. 552.000</t>
  </si>
  <si>
    <t xml:space="preserve"> $   1.310.000 hasta  26.207.000
1. Verificar registros documentales de cumplimiento del requisito.
2. Confirmar actualización de procedimientos y formatos relacionados.
3. Revisar trazabilidad de acciones preventivas y correctivas.</t>
  </si>
  <si>
    <t xml:space="preserve"> $   26.207.000 hasta 31.448.600</t>
  </si>
  <si>
    <t xml:space="preserve">PEQUEÑA </t>
  </si>
  <si>
    <t>De 11 a 50</t>
  </si>
  <si>
    <t>13.182,82 a
&lt; 131.565, 10 UVT</t>
  </si>
  <si>
    <t>De 157, 88 hasta 526,26</t>
  </si>
  <si>
    <t>De 552,57 hasta 1.315,65
1. Verificar registros documentales de cumplimiento del requisito.
2. Confirmar actualización de procedimientos y formatos relacionados.
3. Revisar trazabilidad de acciones preventivas y correctivas.</t>
  </si>
  <si>
    <t>De 657, 82 hasta 3.946,95</t>
  </si>
  <si>
    <t>$  7.862.300 hasta  26.207.000</t>
  </si>
  <si>
    <t xml:space="preserve"> $   27.517.400 hasta 65.518.100
1. Verificar registros documentales de cumplimiento del requisito.
2. Confirmar actualización de procedimientos y formatos relacionados.
3. Revisar trazabilidad de acciones preventivas y correctivas.</t>
  </si>
  <si>
    <t xml:space="preserve"> $   32.758.800 hasta 196.554.200</t>
  </si>
  <si>
    <t xml:space="preserve">MEDIANA </t>
  </si>
  <si>
    <t>De 51 a 200</t>
  </si>
  <si>
    <t>100.000 A 610.000 UVT</t>
  </si>
  <si>
    <t>De 552, 57 hasta 2.631,30</t>
  </si>
  <si>
    <t>De 1,341.96 hasta 2.631,30
1. Verificar registros documentales de cumplimiento del requisito.
2. Confirmar actualización de procedimientos y formatos relacionados.
3. Revisar trazabilidad de acciones preventivas y correctivas.</t>
  </si>
  <si>
    <t>De 3,973.26 hasta 10,525.21</t>
  </si>
  <si>
    <t>$  27.517.400 hasta 131.036.100</t>
  </si>
  <si>
    <t xml:space="preserve"> $   66.828.300 hasta 131.036.100
1. Verificar registros documentales de cumplimiento del requisito.
2. Confirmar actualización de procedimientos y formatos relacionados.
3. Revisar trazabilidad de acciones preventivas y correctivas.</t>
  </si>
  <si>
    <t xml:space="preserve"> $   197.864.400 hasta 524.144.900</t>
  </si>
  <si>
    <t xml:space="preserve">GRAN </t>
  </si>
  <si>
    <t>De 201 o más</t>
  </si>
  <si>
    <t>&gt; 610.000 UVT</t>
  </si>
  <si>
    <t>De 2.657,61 hasta 13. 156, 51</t>
  </si>
  <si>
    <t>De 2,657.61 hasta 26.313,01
1. Verificar registros documentales de cumplimiento del requisito.
2. Confirmar actualización de procedimientos y formatos relacionados.
3. Revisar trazabilidad de acciones preventivas y correctivas.</t>
  </si>
  <si>
    <t>De 10,551.52 hasta 26.313,02</t>
  </si>
  <si>
    <t>$  132.346.300 hasta 655.181.000</t>
  </si>
  <si>
    <t xml:space="preserve"> $  132.346.300 hasta 131.036.100
1. Verificar registros documentales de cumplimiento del requisito.
2. Confirmar actualización de procedimientos y formatos relacionados.
3. Revisar trazabilidad de acciones preventivas y correctivas.</t>
  </si>
  <si>
    <t xml:space="preserve"> $   526.455.100 hasta 131.036.100</t>
  </si>
  <si>
    <t>CONTROL DE CAMBIOS HISTORIAL DE REVISIÓN Y ACTUALIZACIÓN REQUISITOS LEGALES EN SST Art. 2.2.4.6.26. Gestión del cambio y Art. 2.2.4.6.34. Mejora continua. numeral 7</t>
  </si>
  <si>
    <t>FECHA DE REVISION Y/O ACTUALIZACIÓN</t>
  </si>
  <si>
    <t>LEGISLACIÓN INCLUIDA</t>
  </si>
  <si>
    <t>CLASIFICADOR</t>
  </si>
  <si>
    <t>Criterios para evaluar el cumplimiento</t>
  </si>
  <si>
    <t>NOMBRE Y CARGO DE QUIEN REALIZÓ LA REVISIÓN
1. Verificar registros documentales de cumplimiento del requisito.
2. Confirmar actualización de procedimientos y formatos relacionados.
3. Revisar trazabilidad de acciones preventivas y correctivas.</t>
  </si>
  <si>
    <t>Circular No. 09 22-02-2025 Mintarbajo Registro anual de EM, autoevaluación</t>
  </si>
  <si>
    <t>Requisitos Generales
 SG-SST</t>
  </si>
  <si>
    <t>Hay evidencia del reporte anual del plan de mejoramiento  de acuerdo a la autoevaluación de los estándares mínimos al ministerio?</t>
  </si>
  <si>
    <t>Juan Narvez responsable SG-SST con el acompañamiento del abogado ALEJANDRO VALENCIA ORTIZ Abogado de talento consultores
1. Verificar registros documentales de cumplimiento del requisito.
2. Confirmar actualización de procedimientos y formatos relacionados.
3. Revisar trazabilidad de acciones preventivas y correctivas.</t>
  </si>
  <si>
    <t>Resolución  467 del 25-03-2025 Minsalud. Por medio de la cual se modifica la Resolución 2388 de 2016, “Por la cual se unifican las reglas para el recaudo de aportes al Sistema de Seguridad Social Integral y Parafiscales"</t>
  </si>
  <si>
    <t>REQUISITOS GENERALES
Afilaciones</t>
  </si>
  <si>
    <t xml:space="preserve">Esta modificación busca actualizar y ajustar la estructura de PILA
para alinearlo con la normativa del sistema de pensiones, de acuerdo con los cambios introducidos por la Ley 2381 de 2024 (Reforma Pensional): art 1 "Aportes al Sistema General de Pensiones" y “Novedades" se incorpora un
nuevo tipo de cotizante denominado "Contratante", dirigido a las entidades que contratan trabajadores independientes </t>
  </si>
  <si>
    <t>Art 1 y 2,  adoptar el Formulario Único de Afiliación y Reporte de Novedades al Sistema General de Riesgos Laborales</t>
  </si>
  <si>
    <t>Decreto 0405 del 1-04-2025 Presidencia de la república, Por el cual se adiciona el capítulo 7 al Título 9 de la Parte 2 del Libro 2 del Decreto Único Reglamentario del Sector Trabajo 1072 de 2015, Multa por despido de víctima denunciante de acoso sexual en el contexto laboral.</t>
  </si>
  <si>
    <t xml:space="preserve">PSICOSOCIAL 
</t>
  </si>
  <si>
    <t>Artículo 2.2.9.7.3. Razonabilidad.  Para aplicar la sanción a una unidad de explotación económica o a varias unidades dependientes económicamente de una misma persona natural o jurídica (empresa) se aplicará la tabla citada en esta misma norma</t>
  </si>
  <si>
    <t>Resolución 624 del 8-04-2025 Minsalud adopta el Manual para la señalización de los ambientes 100% libres
de humo de tabaco y aerosoles emitidos por sus sucedáneos e imitadores</t>
  </si>
  <si>
    <t>REQUISITOS GENERALES
Sustancias SPA</t>
  </si>
  <si>
    <t>Art 2, Parágrafo transitorio: Los lugares que ya tengan expuesta la señalización tendrán un plazo de seis (6) meses a partir de la expedición de esta resolución para realizar las adecuaciones y ajustes correspondientes de acuerdo con el manual adoptado. 3. ¿Se ha instalado señalización de "Respire con tranquilidad" y destaca que el espacio donde se encuentra la señalización es un lugar protegido y libre de emisiones derivadas de productos de tabaco, sus derivados, sucedáneos e imitadores.?</t>
  </si>
  <si>
    <t>Resolución 691 del 16/04/2025 Minsalud Por medio de la cual se declara la emergencia sanitaria en todo el territorio nacional por el brote causado por el virus de la fiebre amarilla y se adoptan medidas para su
prevención y control</t>
  </si>
  <si>
    <t>BIOLÓGICO</t>
  </si>
  <si>
    <t>ARTÍCULO 5. CULTURA DE PREVENCIÓN. Las instituciones públicas y privadas, la sociedad civil y la ciudadanía en general deben coadyuvar en la implementación de la presente norma y de las disposiciones complementarias que se emitan. En desarrollo del principio de solidaridad y de los postulados de respeto al otro, se deberá adoptar una cultura de prevención vital y minimización del riesgo.</t>
  </si>
  <si>
    <t>Circular 045 del 26-04-2025 Mintrabajo Acciones de promoción y prevención en riesgos laborales para los y las trabajadoras ante la declaración de emergencia sanitaria por brote del virus de la fiebre amarilla, en todo el territorio nacional, mediante la resolución 691 de 2025 expedida por el ministerio de salud y protección social.</t>
  </si>
  <si>
    <t>numeral 1. RESPONSABILIDADES DE LOS EMPLEADORES PÚBLICOS Y PRIVADOS.........
10. Implementar acciones de vigilancia de la salud en el trabajo, para el control del brote del virus de la fiebre amarilla, el ausentismo laboral por enfermedad, la protección y promoción de la salud de las y los trabajadores, asegurando espacios seguros y saludables.</t>
  </si>
  <si>
    <t>REQUISITOS GENERALES
Capacitaciones</t>
  </si>
  <si>
    <t>Se mantine la vigencia del curso de 50/20 horas por 3 años, establece el contenido de módulos y temáticas así como la intensidad horario de cada uno</t>
  </si>
  <si>
    <t xml:space="preserve">Resolución 1843 del 29-04-2025 Mintrabajo regula la práctica de los exámenes médicos ocupacionales, derogó las resoluciones 2346/07, 1918/09, 1075/92 y la 4050/94 </t>
  </si>
  <si>
    <t>REQUISITOS GENERALES
Vigilancia epidemiológica: Historia Clínica - Evaluaciones médicas</t>
  </si>
  <si>
    <t xml:space="preserve">Unifica los tipos de exámenes médicos acorde las actividades, 
art. 5 responsabilidad de los empleadores,  Puntualmente en el literal h. Implementar y ejecutar un programa de páusas activas dentro de la jornada laboral, art.7 responsabilidad de los trabajadores , art 8 establece seis tipos de evaluaciones, art. 15 periodicidad de las evaluaciones menor de 3 años, art 24 Pruebas de alcoholemia y SPA para trabajadores de actividad IV y V no requiren autorización del trabajador </t>
  </si>
  <si>
    <t>Resolución 908 del 15 del 15-05-2025 Minsalud, Por la cual se establecen los requisitos y el procedimiento para la expedición, renovación y cambios de la licencia de seguridad y salud en el trabajo</t>
  </si>
  <si>
    <t>REQUISITOS GENERALES
SG-SST</t>
  </si>
  <si>
    <t>Anexo 1: Campo de aplicación a personas naturales
Anexo 2: Campo de aplicación a personas jurídicas
Docentes en SST no requiren licencia en SST</t>
  </si>
  <si>
    <t>Decreto 0728 de 2025, Mintrabajo, por el cual se adiciona el Capítulo 13 al Título 4 de la Parte 2 del Libro 2 del Decreto número 1072 de 2015, Decreto único Reglamentario del Sector Trabajo, para establecer acciones de promoción de la salud mental, prevención de problemas y trastornos mentales, y consumo de sustancias psicoactivas en el ámbito laboral.</t>
  </si>
  <si>
    <t xml:space="preserve">PSICO LABORAL
</t>
  </si>
  <si>
    <t>Adición del Capítulo 13 al Título 4 de la Parte 2 del Libro 2 del Decreto número 1072 de 2015. Se adiciona el Capítulo 13 al Título 4 de la Parte 2 del Libro 2 del Decreto número 1072 de 2015, Decreto Único Reglamentario del Sector Trabajo</t>
  </si>
  <si>
    <t>Ley 2466 de 2025; MinTrabajo,pPor medio de la cual se modifica parcialmente normas laborales y se adopta una Reforma Laboral para el trabajo decente y digno en Colombia</t>
  </si>
  <si>
    <t>adoptar una reforma laboral mediante la modificación del Código Sustantivo del Trabajo, la Ley 50 de 1990, Ley 789 de 2002 y otras normas laborales, además se dictan disposiciones para el trabajo digno y decente en Colombia, buscando el respeto a la remuneración justa, bienestar integral, la promoción del diálogo social, las garantías para el acceso a la seguridad social y sostenibilidad de los empleos desde el respeto pleno a los derechos de los trabajadores así como el favorecimiento a la creación de empleo formal en Colombia</t>
  </si>
  <si>
    <t>Resolución 1843 de 2025; MinTrabajo, Por la cual se regula la práctica de evaluaciones médicas ocupacionales, y se dictan otras disposiciones</t>
  </si>
  <si>
    <t>La presente Resolución tiene por objeto regular la práctica de evaluaciones médicas ocupacionales, así como el manejo y contenido de las historias clínicas ocupacionales, con alcance a todos los trabajadores y trabajadoras del país, independientemente del sector económico, tipo de vinculación laboral o afiliación al Sistema General de Riesgos Laborales</t>
  </si>
  <si>
    <t>Circular 075 de 2025; MinTrabajo, PREVENCIÓN, IDENTIFICACIÓN Y ATENCIÓN DEL ACOSO LABORAL, ACOSO SEXUAL Y DISCRIMINACIÓN CONTRA LAS PERSONAS TRANS, PERSONAS NO BINARIAS E IDENTIDADES DE GÉNERO NO HEGEMÓNICAS</t>
  </si>
  <si>
    <t>se reconoce como en Colombia las personas trans, personas no binarias e identidades de género no hegemónicas enfrentan barreras que les impiden acceder a trabajos dignos y decentes, o se ven obligadas a permanecer en espacios laborales cargados de violencia, discriminación y prácticas de negación de su identidad de género. Si bien estas poblaciones hacen parte de los sectores sociales LGBTIQ+, sufren de violencias diferenciales por razón de su identidad de género.</t>
  </si>
  <si>
    <t>Resolución 0194 de 2025; MinVivienda, Por medio de la cual se definen los parámetros y lineamientos de construcción sostenible, se adopta la guía para el ahorro de agua y energía en edificaciones, se sustituye la Resolución 0549 del 2015 y se dictan otras disposiciones.</t>
  </si>
  <si>
    <t xml:space="preserve">establecer los porcentajes mínimos y medidas de ahorro en agua y energía a alcanzar en las nuevas edificaciones y adoptar la guía de construcción sostenible para el ahorro de agua y energía en edificaciones.
 </t>
  </si>
  <si>
    <t xml:space="preserve"> fijar las tarifas para el cobro de
los servicios de evaluación y seguimiento de licencias ambientales, permisos,
autorizaciones y demás instrumentos de control y manejo ambiental de competencia de la
ANLA.</t>
  </si>
  <si>
    <t>reglamentar las condiciones para la participación de las comunidades locales en las mesas de trabajo de carácter regional que deberá adelantar el CONALDEF, previstas en el parágrafo primero del artículo 26 de la Ley 2294 de 2023, Plan Nacional de Desarrollo 2022-2026 "Colombia Potencia Mundial de la Vida".</t>
  </si>
  <si>
    <t>se establecen criterios que permitan determinar la capacidad económica de las personas naturales y jurídicas para cumplir actividades de comercialización de minerales</t>
  </si>
  <si>
    <t>corregir fallas tecnológicas en la plataforma para asegurar su correcto funcionamiento y es necesaria para la correcta operación del sistema de trazabilidad de minerales</t>
  </si>
  <si>
    <t xml:space="preserve">Concepto/criterio 2025 y cruces normativos: la Res. 1843/2025 articula pruebas de alcoholimetría/SPA con el PESV y la metodología vigente del MinTransporte (Res. 20223040040595 de 2022); para 2025 continúan obligaciones de PESV y registro SISI-PESV para sujetos obligados (operación logística propia/tercerizada). Incorpóralo en la matriz por su interacción con conducción de vehículos livianos/pesados y equipos. </t>
  </si>
  <si>
    <t>PESV</t>
  </si>
  <si>
    <t xml:space="preserve">PROCEDIMIENTO PARA LA IDENTIFICACIÓN, ACTUALIZACIÓN  Y EVALUACIÓN DEL CUMPLIMIENTO LEGAL </t>
  </si>
  <si>
    <t>Código:00</t>
  </si>
  <si>
    <t xml:space="preserve">Versión: </t>
  </si>
  <si>
    <t>Fecha: 2022</t>
  </si>
  <si>
    <t>Justificación:
En los últimos tiempos se han emitido grandes cambios normativos en materia de seguridad y salud en el trabajo, todas apuntan a un protagonismo cada vez mayor de los actores del Sistema General de Riesgos Laborales; El decreto 1072 de 2015, obliga  a las empresas el cumplimiento de la normatividad vigente en SST que le aplican según su actividad, taxativamente lo establece en los siguientes artículos del Decreto 1072 de 2015: Articulo  2.2.4.6.12 numeral 15, articulo 2.2.4.6.17 numeral 1,  articulo 2.2.4.6.16 numeral 1, articulo 2.2.4.6.22 numeral 1, articulo 2.2.4.6.18 numeral 4, articulo 2.2.4.6.31 numeral 13, articulo 2.2.4.6.34 numeral 7 y Resolución 0312 de 2019.</t>
  </si>
  <si>
    <t>Objetivo: 
Establecer los lineamientos para identificar, actualizar, evaluar, publicar  y aplicar los requisitos legales que en materia de SST  que son de cumplimiento para la empresa.
Responsable de ejecución: Gerente y  su delegado
Fuentes de información: 
Como insumo para la construcción y actualización de la matriz legal se  realiza un rastreo normativo en las diferentes fuentes de consulta en especial el Diario Oficial como único portal del estado para publicar las normas como requisito fundamental en nuestro ordenamiento jurídico (http://www.imprenta.gov.co/portal/page/portal/IMPRENTA/Productos/Diario_Oficial). También se rastrean las siguientes fuentes de consulta que usualmente publican normas de índole privado y público: http://www.mintrabajo.gov.co/, https://www.minsalud.gov.co/ https://www.mintransporte.gov.co/, https://www.minminas.gov.co/ y el portal de la ARL a la que la empresa se encuentra afiliada.
Recursos necesarios: 
Equipos de cómputo con office, profesional en SST o consultor en riesgos laborales con licencia en SST.</t>
  </si>
  <si>
    <t>Etapas de Gestión:</t>
  </si>
  <si>
    <t>Qué hacer</t>
  </si>
  <si>
    <t>Cómo hacer</t>
  </si>
  <si>
    <t>Quién</t>
  </si>
  <si>
    <t>Documentos y Registros</t>
  </si>
  <si>
    <t>1.Compilación de la normatividad y OTROS</t>
  </si>
  <si>
    <t>Se crea la Matriz de requisitos legales en  SST, ésta contiene las normas  generales y específicas en SST aplicables a la empresa, las normas se compilan en 7 grupos, cada grupo parte con una norma principal y a este se le asignan las demás normas asociadas a dicho grupo o riesgo, por lo tanto las normas no se listan de manera individual en una sola hoja de Excel. Así queda entonces el inventario legal compuesto por leyes, decretos, resoluciones y circulares aplicables a la empresa.
Otros requisitos se consolidan en la hoja otros requisitos, la evaluación de estos no afecta la evaluación de los grupos o clasificadores, puede mantenerse la evaluación que encuentra en ellos.</t>
  </si>
  <si>
    <t>Administrador del SG-SST</t>
  </si>
  <si>
    <t>Matriz legal</t>
  </si>
  <si>
    <t>2. Identificación y clasificación de los requisitos</t>
  </si>
  <si>
    <t xml:space="preserve">Los requisitos aplicables se compilan en 7 grupos y a este se le asocian otras nomas que se refieren a dicha  naturaleza así:
1. Requisitos Generales y Subclasificación
2. Biológico y Subclasificación
3. Físicos y Subclasificación
4. Químico y Subclasificación
5.Psicosociales y Subclasificación
6. Biomecánicos y Subclasificación
7. Condiciones de seguridad y Subclasificación
En la agrupación que parte de una norma principal  se describen las demás normas asociadas a dicho grupo.
A Cada grupo de normas se le asignan unos criterios en forma de pregunta que facilitan hacer la autoevaluación y por ende validar si la empresa cumple o no las normas. </t>
  </si>
  <si>
    <t xml:space="preserve">3. Evaluación </t>
  </si>
  <si>
    <t>Semestralmente la gerencia o el asignado realiza la autoevaluación al cumplimiento bajo el siguiente criterio:
El evaluador puede evaluarse de 0 a 5 según criterios o preguntas que cumpla de grupo de normas respectivo  y del año correspondiente. (El valor de cada pregunta se obtiene de dividir 5 que es el valor máximo de todas la preguntas sobre el total de preguntas, su resultado se multiplica por la cantidad de preguntas que cumple.
Una vez que es evaluado cada grupo de criterios, se obtiene el indicador de cumplimiento global y por clasificador de los requisitos legales que se visibiliza en la hoja de cumplimiento, allí hay un resumen de evaluación por año donde se puede hacer el análisis del indicador, también se encuentra un gráfico comparativo de los últimos dos años</t>
  </si>
  <si>
    <t>4. Definir Planes de Acción por incumplimientos legales observados</t>
  </si>
  <si>
    <t>Una vez son auto-evaluados  los criterios que evidencian el cumplimiento de cada grupo de normas, el responsable de la autoevaluación en la misma hoja debe asentar el plan de acción que debe ejecutarse para cerrar brechas identificadas.</t>
  </si>
  <si>
    <t>Matriz legal y planes de acción, indicador de cumplimiento</t>
  </si>
  <si>
    <t>5. Actualización de la matriz</t>
  </si>
  <si>
    <t>Si bien es conocido que la matriz debe actualizarse en la medida que sean expedidas nuevas normas aplicables a la organizacón, por razones de tiempo y económia, la empresa ha obtado por hacer un rastreo normativos de manera semestral, sea con apoyo de un experto externo, de la ARL o por el administrador del SG-SSST en las fuentes de consulta arriba descritas para identificar nuevos requisitos aplicables, si se encuentran una nueva norma aplicable, de inmediatamente se ingresa al grupo de normas que corresponda o sea asocia al clasificador o grupo correspondiente, (No es necesario adicionar filas nuevas) si la nueva norma tiene un criterio o exigencia nueva a las ya listadas en el cuadro de criterios, esta se debe agregar a la numeración consecutiva y así entra a hacer parte del grupo de criterios para evaluar el cumplimiento,  así se mantendrá actualizada la matriz</t>
  </si>
  <si>
    <t>6. Verificar la eficacia de los Planes de Acción.</t>
  </si>
  <si>
    <t>A los planes de acción que se le asigna a cada grupo de normas se les debe hacer seguimiento periódico y así recalificarán  nuevamente y a la vez dinamiza el indicador de cumplimiento.</t>
  </si>
  <si>
    <t>Matriz legal, con planes de acción y seguimiento, indicador de cumplimiento</t>
  </si>
  <si>
    <t>7. Comunicación y Publicación</t>
  </si>
  <si>
    <t>La matriz de requisitos legales se puede publicar en la intranet de manera permanente y sobre ésta se hace la actualización y calificación periódica, el gerente tiene la responsabilidad de comunicar a los trabajadores el cumplimiento legal y los cambios que se puedan dar. El gráfico de cumplimiento legal es el insumo para hacer la revisión por la dirección al cumplimiento legal.</t>
  </si>
  <si>
    <t>Matriz legal, registros de divulgación</t>
  </si>
  <si>
    <t>CRITERIOS DE VALORACIÓN  DELCUMPLIMIENTO LEGAL</t>
  </si>
  <si>
    <t xml:space="preserve">CRÍTICO: </t>
  </si>
  <si>
    <t>Si el porcentaje obtenido es menor al 60%</t>
  </si>
  <si>
    <t>MODERADAMENTE ACEPTABLE
1. Verificar registros documentales de cumplimiento del requisito.
2. Confirmar actualización de procedimientos y formatos relacionados.
3. Revisar trazabilidad de acciones preventivas y correctivas.</t>
  </si>
  <si>
    <t>Si el porcentaje obtenido está entre el 60 y 85%</t>
  </si>
  <si>
    <t>ACEPTABLE:</t>
  </si>
  <si>
    <t>Si el Porcentaje obtenido es mayor al 85%</t>
  </si>
  <si>
    <t>1. ¿La empresa ha identificado los requisitos específicos de Resolución 1843 del 29-04-2025 Mintrabajo regula la práctica de los exámenes médicos ocupacionales (36 arts: 5,7, 8,15,24) que aplican a su actividad económica y tamaño?
2. ¿Se dispone de procedimientos, instructivos o formatos que permitan cumplir con las exigencias técnicas y administrativas de Resolución 1843 del 29-04-2025 Mintrabajo regula la práctica de los exámenes médicos ocupacionales (36 arts: 5,7, 8,15,24)?
3. ¿Existen registros (informes, actas, listados, certificados, reportes en plataformas) que evidencien el cumplimiento de Resolución 1843 del 29-04-2025 Mintrabajo regula la práctica de los exámenes médicos ocupacionales (36 arts: 5,7, 8,15,24)?
4. ¿Los responsables del SG-SST realizan seguimiento periódico a los ítems de Resolución 1843 del 29-04-2025 Mintrabajo regula la práctica de los exámenes médicos ocupacionales (36 arts: 5,7, 8,15,24) incluidos en la matriz legal y documentan los resultados?
5. ¿Se han comunicado los requisitos de Resolución 1843 del 29-04-2025 Mintrabajo regula la práctica de los exámenes médicos ocupacionales (36 arts: 5,7, 8,15,24) a los trabajadores, contratistas y proveedores que se ven impactados por esta norma?
6. ¿Las no conformidades asociadas al cumplimiento de Resolución 1843 del 29-04-2025 Mintrabajo regula la práctica de los exámenes médicos ocupacionales (36 arts: 5,7, 8,15,24) generan acciones correctivas o de mejora con responsables y fechas definidas?
7. La empresa cuenta con los perfiles de cargo actualizados para la realización de los exámenes médicos?
8. La empresa garantiza la práctica oportuna de las evaluaciones médicas ocupacionales?
9. La empresa entrega al trabajador copia del concepto médico y conserva un registro?
10. Los perfiles de cargo incluyen funciones, riesgos y condiciones del puesto de trabajo?</t>
  </si>
  <si>
    <t>Resolución 1843 del 29-04-2025 Mintrabajo regula la práctica de los exámenes médicos ocupacionales (arts: 5, literal (d,7, 8,15, literal a),24)</t>
  </si>
  <si>
    <t>NORMAS (Objeto)</t>
  </si>
  <si>
    <t xml:space="preserve"> Artículos (si aplica)</t>
  </si>
  <si>
    <t>Constitución Política de Colombia de 1991 – Derechos laborales, seguridad social y salud</t>
  </si>
  <si>
    <t>Artículos 25, 48, 49 y 53 de la Constitución Política de Colombia.</t>
  </si>
  <si>
    <t>1. ¿La empresa garantiza condiciones de trabajo dignas y justas para todos los trabajadores (art. 25)?
2. ¿Todos los trabajadores se encuentran afiliados y con aportes al sistema de seguridad social integral al día (art. 48)?
3. ¿Las decisiones del SG-SST están orientadas a la prevención y promoción de la salud de los trabajadores (art. 49)?
4. ¿Las políticas internas de talento humano y las condiciones de trabajo respetan los mínimos fundamentales señalados en el art. 53 (estabilidad, irrenunciabilidad de derechos, primacía de la realidad, etc.)?</t>
  </si>
  <si>
    <t>Ley 1751 de 2015 – Ley Estatutaria de Salud</t>
  </si>
  <si>
    <t>Artículos 2, 5, 6, 10 y 11 de la Ley 1751 de 2015.</t>
  </si>
  <si>
    <t>1. ¿Las políticas y procedimientos internos garantizan el derecho fundamental a la salud de los trabajadores como parte de la gestión del SG-SST?
2. ¿Se gestionan los riesgos que puedan afectar la salud física y mental de los trabajadores, priorizando la prevención (arts. 5 y 6)?
3. ¿La empresa garantiza el acceso efectivo a los servicios de salud derivados de accidentes y enfermedades laborales, sin barreras de oportunidad o trámite (arts. 10 y 11)?</t>
  </si>
  <si>
    <t>Código Sustantivo del Trabajo – Deber de protección y condiciones de seguridad e higiene</t>
  </si>
  <si>
    <t>Artículos 56, 57 numeral 2, 348, 349 y concordantes del Código Sustantivo del Trabajo.</t>
  </si>
  <si>
    <t>1. ¿El empleador adopta las medidas necesarias para proteger la vida, la integridad y la salud de los trabajadores en todas las sedes y frentes de trabajo (art. 56)?
2. ¿Se suministran oportunamente los elementos de protección personal y colectiva requeridos por la actividad de HOLCIM (art. 57 num. 2)?
3. ¿Las instalaciones, equipos y ambientes de trabajo cumplen condiciones adecuadas de higiene y seguridad industrial (arts. 348 y 349)?</t>
  </si>
  <si>
    <t>Decreto 1072 de 2015 – Decreto Único Reglamentario del Sector Trabajo, Libro 2, Parte 2, Título 4, Capítulo 6 – SG-SST</t>
  </si>
  <si>
    <t>Artículos 2.2.4.6.1 al 2.2.4.6.45 del Decreto 1072 de 2015, adicionados y complementados por normas posteriores, incluyendo el Decreto 728 de 2025.</t>
  </si>
  <si>
    <t>1. ¿HOLCIM tiene implementado formalmente el Sistema de Gestión de Seguridad y Salud en el Trabajo (SG-SST) conforme a la estructura y requisitos del Capítulo 6 del Decreto 1072 de 2015?
2. ¿Se realiza la identificación de peligros, valoración y control de riesgos con metodología documentada y actualizada, incluyendo riesgos psicosociales y de consumo de sustancias psicoactivas (acorde con las adiciones del Decreto 728 de 2025)?
3. ¿Se ejecuta anualmente la autoevaluación de estándares mínimos, el plan de mejora y el plan anual del SG-SST, con evidencia documental trazable (art. 2.2.4.6.8 y concordantes)?</t>
  </si>
  <si>
    <t>Resolución 4272 de 2021 – Requisitos mínimos de seguridad para trabajo en alturas y condiciones de seguridad en los lugares de trabajo (deroga en gran parte la Resolución 2400 de 1979 y la Resolución 1409 de 2012).</t>
  </si>
  <si>
    <t>Artículos 2, 4, 17 a 22, 46 a 53, 92 a 101 y 113 a 118 de la Resolución 4272 de 2021.</t>
  </si>
  <si>
    <t>1. ¿Las áreas de trabajo, pasillos, escaleras y superficies de circulación cuentan con barandas, rodapiés y condiciones de seguridad conforme a los arts. 17 a 22 de la Resolución 4272 de 2021?
2. ¿Las actividades de trabajo en alturas en HOLCIM se realizan sólo por trabajadores autorizados, con capacitación, equipos y procedimientos seguros de acuerdo con los arts. 46 a 53?
3. ¿Se cuenta con un programa formal de orden y aseo industrial y con resguardos de máquinas y equipos, conforme a los arts. 92 a 101 y 113 a 118?</t>
  </si>
  <si>
    <t>Ley 1618 de 2013 – Garantías para las personas con discapacidad</t>
  </si>
  <si>
    <t>Artículos 11, 13 y 21 de la Ley 1618 de 2013.</t>
  </si>
  <si>
    <t>1. ¿HOLCIM ha identificado trabajadores con discapacidad y ha implementado ajustes razonables en el puesto de trabajo y en las instalaciones físicas (art. 11)?
2. ¿Las instalaciones (accesos, rutas, baños, señalización) garantizan accesibilidad para personas con discapacidad (art. 13)?
3. ¿Se cuenta con políticas de no discriminación e inclusión laboral para personas con discapacidad (art. 21)?</t>
  </si>
  <si>
    <t>Resolución 0312 de 2019 – Estándares Mínimos del SG-SST</t>
  </si>
  <si>
    <t>Artículos 2, 5, 16, 17, 25, 26 y 27 de la Resolución 0312 de 2019.</t>
  </si>
  <si>
    <t>1. ¿La empresa ha definido la tabla de estándares mínimos que le aplica según el número de trabajadores y clase de riesgo, conforme al art. 2 de la Resolución 0312 de 2019?
2. ¿Se realiza anualmente la autoevaluación de estándares mínimos, se registra en el formulario oficial y se formula el plan de mejora y el plan anual del SG-SST (arts. 16, 26 y 27)?
3. ¿Las evidencias documentales (procedimientos, programas, registros, indicadores, investigaciones de AT y EL, capacitación, etc.) permiten demostrar el cumplimiento de cada estándar mínimo aplicable?</t>
  </si>
  <si>
    <t>Ley 2088 de 2021 – Trabajo en casa</t>
  </si>
  <si>
    <t>Artículos 5, 7, 8, 9 y 11 de la Ley 2088 de 2021.</t>
  </si>
  <si>
    <t>1. ¿La empresa cuenta con procedimientos definidos para la habilitación del trabajo en casa, incluyendo comunicación formal al trabajador (arts. 5 y 7)?
2. ¿Se garantiza la seguridad y salud en el trabajo para quienes prestan servicios bajo la modalidad de trabajo en casa, incluyendo la identificación y control de riesgos en el lugar donde se desarrolla la labor (arts. 8 y 9)?
3. ¿Se respeta el derecho a la desconexión laboral para quienes se encuentren en trabajo en casa, conforme al art. 11 y normas complementarias?</t>
  </si>
  <si>
    <t>Decreto 649 de 2022 – Reglamenta e incorpora el trabajo en casa en el Decreto 1072 de 2015.</t>
  </si>
  <si>
    <t>Artículos 2.2.1.5.1.1 al 2.2.1.5.1.8 del Decreto 1072 de 2015 adicionados por el Decreto 649 de 2022.</t>
  </si>
  <si>
    <t>1. ¿Los procedimientos de trabajo en casa de HOLCIM se encuentran alineados con las disposiciones incorporadas al Decreto 1072 de 2015 mediante el Decreto 649 de 2022?
2. ¿Se realiza evaluación de riesgos del puesto de trabajo en casa y se implementan medidas de prevención y protección acordes con dicha evaluación?
3. ¿Existen registros de capacitación y sensibilización sobre riesgos y autocuidado para trabajadores en trabajo en casa?</t>
  </si>
  <si>
    <t>Circular 0012 de 2024 del Ministerio del Trabajo – Acciones de prevención y protección frente a riesgos laborales en el marco del fenómeno de El Niño.</t>
  </si>
  <si>
    <t>Circular 0012 de 2024 del Ministerio del Trabajo.</t>
  </si>
  <si>
    <t>1. ¿HOLCIM identificó los riesgos derivados de condiciones climáticas extremas (altas temperaturas, incendios forestales, desabastecimiento de agua, etc.) asociados al fenómeno de El Niño?
2. ¿Se implementaron medidas específicas de prevención y protección (hidratación, pausas activas, control de exposición a calor, planes de emergencia) conforme a las recomendaciones de la Circular 0012 de 2024?
3. ¿Existen registros de comunicación, capacitación y seguimiento a las medidas adoptadas frente al fenómeno de El Niño?</t>
  </si>
  <si>
    <t>Circular 015 de 2024 del Ministerio del Trabajo – Reporte de autoevaluación de estándares mínimos y plan de mejora del SG-SST.</t>
  </si>
  <si>
    <t>Circular 015 de 2024 del Ministerio del Trabajo.</t>
  </si>
  <si>
    <t>1. ¿HOLCIM realiza la autoevaluación anual de estándares mínimos del SG-SST en las fechas y medios establecidos en la Circular 015 de 2024?
2. ¿El resultado de la autoevaluación y el plan de mejora son reportados a través de los mecanismos indicados por el Ministerio del Trabajo, dentro de los plazos vigentes?
3. ¿Se conserva evidencia del envío, acuse de recibo y trazabilidad del reporte de autoevaluación y plan de mejora?</t>
  </si>
  <si>
    <t>Decreto 728 de 2025 – Acciones de promoción de la salud mental y prevención del consumo de sustancias psicoactivas en el trabajo. Adiciona un capítulo al Decreto 1072 de 2015.</t>
  </si>
  <si>
    <t>Artículos 1 al 8 del Decreto 728 de 2025 y capítulo adicionado al Decreto 1072 de 2015.</t>
  </si>
  <si>
    <t>1. ¿HOLCIM ha incorporado en su SG-SST un programa específico de promoción de la salud mental y prevención de problemas y trastornos mentales, de acuerdo con el Decreto 728 de 2025?
2. ¿Se cuenta con un programa de prevención del consumo de alcohol y sustancias psicoactivas en el lugar de trabajo, con actividades de sensibilización, identificación temprana y remisión, cuando aplique?
3. ¿Se han definido indicadores, registros y responsables para el seguimiento de las acciones en salud mental y SPA, con énfasis en los riesgos psicosociales de la industria del cemento?</t>
  </si>
  <si>
    <t>CUMPLIMIENTO 2025</t>
  </si>
  <si>
    <t>CUMPLIMIENTO 2026</t>
  </si>
  <si>
    <t>CRITERIOS  PARA AUTOEVALUACIÓN QUE EVIDENCIAN EL CUMPLIMIENTO LEGAL</t>
  </si>
  <si>
    <t>Condiciones de Seguridad</t>
  </si>
  <si>
    <t>Psicosocial</t>
  </si>
  <si>
    <t>Químicos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</si>
</sst>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409]mmmm\ d\,\ yyyy;@"/>
  </numFmts>
  <fonts count="33" x14ac:knownFonts="1">
    <font>
      <sz val="11"/>
      <color theme="1"/>
      <name val="Calibri"/>
      <family val="2"/>
      <scheme val="minor"/>
    </font>
    <font>
      <sz val="11"/>
      <name val="Calibri"/>
      <family val="2"/>
      <scheme val="minor"/>
    </font>
    <font>
      <sz val="10"/>
      <name val="Arial"/>
      <family val="2"/>
    </font>
    <font>
      <sz val="11"/>
      <name val="Arial"/>
      <family val="2"/>
    </font>
    <font>
      <sz val="12"/>
      <name val="Calibri"/>
      <family val="2"/>
      <scheme val="minor"/>
    </font>
    <font>
      <b/>
      <sz val="11"/>
      <color theme="1"/>
      <name val="Calibri"/>
      <family val="2"/>
      <scheme val="minor"/>
    </font>
    <font>
      <b/>
      <sz val="18"/>
      <name val="Calibri"/>
      <family val="2"/>
      <scheme val="minor"/>
    </font>
    <font>
      <sz val="10"/>
      <name val="Calibri"/>
      <family val="2"/>
      <scheme val="minor"/>
    </font>
    <font>
      <b/>
      <sz val="20"/>
      <color theme="1"/>
      <name val="Calibri"/>
      <family val="2"/>
      <scheme val="minor"/>
    </font>
    <font>
      <b/>
      <sz val="11"/>
      <color theme="0"/>
      <name val="Calibri"/>
      <family val="2"/>
      <scheme val="minor"/>
    </font>
    <font>
      <sz val="14"/>
      <color indexed="8"/>
      <name val="Calibri"/>
      <family val="2"/>
      <scheme val="minor"/>
    </font>
    <font>
      <sz val="11"/>
      <color indexed="8"/>
      <name val="Calibri"/>
      <family val="2"/>
      <scheme val="minor"/>
    </font>
    <font>
      <b/>
      <sz val="16"/>
      <color theme="1"/>
      <name val="Calibri"/>
      <family val="2"/>
      <scheme val="minor"/>
    </font>
    <font>
      <b/>
      <sz val="11"/>
      <name val="Calibri"/>
      <family val="2"/>
      <scheme val="minor"/>
    </font>
    <font>
      <b/>
      <sz val="12"/>
      <name val="Arial"/>
      <family val="2"/>
    </font>
    <font>
      <b/>
      <sz val="10"/>
      <name val="Calibri"/>
      <family val="2"/>
      <scheme val="minor"/>
    </font>
    <font>
      <sz val="12"/>
      <name val="Tahoma"/>
      <family val="2"/>
    </font>
    <font>
      <b/>
      <sz val="12"/>
      <color theme="0"/>
      <name val="Tahoma"/>
      <family val="2"/>
    </font>
    <font>
      <b/>
      <sz val="12"/>
      <color theme="0"/>
      <name val="Gill Sans MT"/>
      <family val="2"/>
    </font>
    <font>
      <b/>
      <sz val="12"/>
      <color theme="0"/>
      <name val="Calibri"/>
      <family val="2"/>
      <scheme val="minor"/>
    </font>
    <font>
      <u/>
      <sz val="11"/>
      <color theme="10"/>
      <name val="Calibri"/>
      <family val="2"/>
      <scheme val="minor"/>
    </font>
    <font>
      <b/>
      <sz val="18"/>
      <color theme="0"/>
      <name val="Tahoma"/>
      <family val="2"/>
    </font>
    <font>
      <b/>
      <sz val="14"/>
      <color theme="0"/>
      <name val="Calibri"/>
      <family val="2"/>
      <scheme val="minor"/>
    </font>
    <font>
      <b/>
      <sz val="12"/>
      <name val="Tahoma"/>
      <family val="2"/>
    </font>
    <font>
      <b/>
      <sz val="14"/>
      <color theme="1"/>
      <name val="Calibri"/>
      <family val="2"/>
      <scheme val="minor"/>
    </font>
    <font>
      <sz val="14"/>
      <color theme="1"/>
      <name val="Calibri"/>
      <family val="2"/>
      <scheme val="minor"/>
    </font>
    <font>
      <b/>
      <sz val="14"/>
      <color theme="0"/>
      <name val="Tahoma"/>
      <family val="2"/>
    </font>
    <font>
      <b/>
      <sz val="14"/>
      <color rgb="FF000000"/>
      <name val="Arial Narrow"/>
      <family val="2"/>
    </font>
    <font>
      <sz val="14"/>
      <color rgb="FF000000"/>
      <name val="Arial Narrow"/>
      <family val="2"/>
    </font>
    <font>
      <b/>
      <sz val="11"/>
      <color indexed="8"/>
      <name val="Calibri"/>
      <family val="2"/>
      <scheme val="minor"/>
    </font>
    <font>
      <b/>
      <sz val="10"/>
      <color theme="0"/>
      <name val="Calibri"/>
      <family val="2"/>
      <scheme val="minor"/>
    </font>
    <font>
      <sz val="12"/>
      <color theme="1"/>
      <name val="Calibri"/>
      <family val="2"/>
      <scheme val="minor"/>
    </font>
    <font>
      <sz val="14"/>
      <color theme="0"/>
      <name val="Calibri"/>
      <family val="2"/>
      <scheme val="minor"/>
    </font>
  </fonts>
  <fills count="13">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theme="4" tint="-0.499984740745262"/>
        <bgColor indexed="64"/>
      </patternFill>
    </fill>
    <fill>
      <patternFill patternType="solid">
        <fgColor theme="4" tint="0.79998168889431442"/>
        <bgColor indexed="64"/>
      </patternFill>
    </fill>
    <fill>
      <patternFill patternType="solid">
        <fgColor theme="4" tint="-0.249977111117893"/>
        <bgColor indexed="64"/>
      </patternFill>
    </fill>
    <fill>
      <patternFill patternType="solid">
        <fgColor theme="0" tint="-4.9989318521683403E-2"/>
        <bgColor indexed="64"/>
      </patternFill>
    </fill>
    <fill>
      <patternFill patternType="solid">
        <fgColor rgb="FFFF0000"/>
        <bgColor indexed="64"/>
      </patternFill>
    </fill>
    <fill>
      <patternFill patternType="solid">
        <fgColor rgb="FFFFFF00"/>
        <bgColor indexed="64"/>
      </patternFill>
    </fill>
    <fill>
      <patternFill patternType="solid">
        <fgColor rgb="FF92D050"/>
        <bgColor indexed="64"/>
      </patternFill>
    </fill>
    <fill>
      <patternFill patternType="solid">
        <fgColor theme="3" tint="-0.249977111117893"/>
        <bgColor indexed="64"/>
      </patternFill>
    </fill>
    <fill>
      <patternFill patternType="solid">
        <fgColor theme="3" tint="0.39997558519241921"/>
        <bgColor indexed="64"/>
      </patternFill>
    </fill>
  </fills>
  <borders count="5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indexed="23"/>
      </left>
      <right style="medium">
        <color indexed="23"/>
      </right>
      <top style="medium">
        <color indexed="23"/>
      </top>
      <bottom style="medium">
        <color indexed="23"/>
      </bottom>
      <diagonal/>
    </border>
    <border>
      <left style="thin">
        <color auto="1"/>
      </left>
      <right style="thin">
        <color auto="1"/>
      </right>
      <top style="thin">
        <color auto="1"/>
      </top>
      <bottom/>
      <diagonal/>
    </border>
    <border>
      <left style="thin">
        <color auto="1"/>
      </left>
      <right/>
      <top/>
      <bottom style="thin">
        <color auto="1"/>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auto="1"/>
      </left>
      <right style="thin">
        <color auto="1"/>
      </right>
      <top/>
      <bottom/>
      <diagonal/>
    </border>
    <border>
      <left/>
      <right style="medium">
        <color indexed="64"/>
      </right>
      <top/>
      <bottom style="medium">
        <color indexed="64"/>
      </bottom>
      <diagonal/>
    </border>
    <border>
      <left/>
      <right/>
      <top style="thin">
        <color auto="1"/>
      </top>
      <bottom/>
      <diagonal/>
    </border>
    <border>
      <left/>
      <right style="medium">
        <color indexed="23"/>
      </right>
      <top style="medium">
        <color indexed="23"/>
      </top>
      <bottom style="medium">
        <color indexed="23"/>
      </bottom>
      <diagonal/>
    </border>
    <border>
      <left style="medium">
        <color indexed="23"/>
      </left>
      <right/>
      <top style="medium">
        <color indexed="23"/>
      </top>
      <bottom style="medium">
        <color indexed="23"/>
      </bottom>
      <diagonal/>
    </border>
    <border>
      <left/>
      <right style="medium">
        <color indexed="23"/>
      </right>
      <top/>
      <bottom style="medium">
        <color indexed="23"/>
      </bottom>
      <diagonal/>
    </border>
    <border>
      <left style="medium">
        <color indexed="23"/>
      </left>
      <right style="medium">
        <color indexed="23"/>
      </right>
      <top/>
      <bottom style="medium">
        <color indexed="23"/>
      </bottom>
      <diagonal/>
    </border>
    <border>
      <left style="medium">
        <color indexed="23"/>
      </left>
      <right/>
      <top/>
      <bottom style="medium">
        <color indexed="23"/>
      </bottom>
      <diagonal/>
    </border>
    <border>
      <left/>
      <right style="medium">
        <color indexed="23"/>
      </right>
      <top style="medium">
        <color indexed="23"/>
      </top>
      <bottom/>
      <diagonal/>
    </border>
    <border>
      <left style="medium">
        <color indexed="23"/>
      </left>
      <right style="medium">
        <color indexed="23"/>
      </right>
      <top style="medium">
        <color indexed="23"/>
      </top>
      <bottom/>
      <diagonal/>
    </border>
    <border>
      <left style="medium">
        <color indexed="23"/>
      </left>
      <right/>
      <top style="medium">
        <color indexed="23"/>
      </top>
      <bottom/>
      <diagonal/>
    </border>
    <border>
      <left/>
      <right style="thin">
        <color indexed="64"/>
      </right>
      <top style="thin">
        <color indexed="64"/>
      </top>
      <bottom/>
      <diagonal/>
    </border>
    <border>
      <left/>
      <right style="thin">
        <color indexed="64"/>
      </right>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medium">
        <color indexed="64"/>
      </right>
      <top style="medium">
        <color indexed="64"/>
      </top>
      <bottom style="thin">
        <color auto="1"/>
      </bottom>
      <diagonal/>
    </border>
    <border>
      <left style="thin">
        <color auto="1"/>
      </left>
      <right style="medium">
        <color indexed="64"/>
      </right>
      <top style="thin">
        <color auto="1"/>
      </top>
      <bottom style="medium">
        <color indexed="64"/>
      </bottom>
      <diagonal/>
    </border>
    <border>
      <left/>
      <right style="thin">
        <color auto="1"/>
      </right>
      <top style="medium">
        <color indexed="64"/>
      </top>
      <bottom style="medium">
        <color indexed="64"/>
      </bottom>
      <diagonal/>
    </border>
    <border>
      <left/>
      <right style="thin">
        <color auto="1"/>
      </right>
      <top style="medium">
        <color indexed="64"/>
      </top>
      <bottom/>
      <diagonal/>
    </border>
    <border>
      <left/>
      <right style="thin">
        <color auto="1"/>
      </right>
      <top/>
      <bottom style="medium">
        <color indexed="64"/>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right style="thin">
        <color auto="1"/>
      </right>
      <top/>
      <bottom/>
      <diagonal/>
    </border>
    <border>
      <left style="thin">
        <color indexed="64"/>
      </left>
      <right style="thin">
        <color indexed="64"/>
      </right>
      <top style="thin">
        <color indexed="64"/>
      </top>
      <bottom/>
      <diagonal/>
    </border>
    <border>
      <left style="thin">
        <color indexed="64"/>
      </left>
      <right/>
      <top/>
      <bottom/>
      <diagonal/>
    </border>
    <border>
      <left style="medium">
        <color indexed="64"/>
      </left>
      <right style="medium">
        <color indexed="64"/>
      </right>
      <top style="medium">
        <color indexed="64"/>
      </top>
      <bottom style="thin">
        <color auto="1"/>
      </bottom>
      <diagonal/>
    </border>
    <border>
      <left style="thin">
        <color auto="1"/>
      </left>
      <right style="medium">
        <color indexed="64"/>
      </right>
      <top style="thin">
        <color auto="1"/>
      </top>
      <bottom style="thin">
        <color auto="1"/>
      </bottom>
      <diagonal/>
    </border>
    <border>
      <left/>
      <right style="medium">
        <color indexed="64"/>
      </right>
      <top style="thin">
        <color auto="1"/>
      </top>
      <bottom style="thin">
        <color auto="1"/>
      </bottom>
      <diagonal/>
    </border>
    <border>
      <left style="thin">
        <color auto="1"/>
      </left>
      <right style="thin">
        <color auto="1"/>
      </right>
      <top style="thin">
        <color auto="1"/>
      </top>
      <bottom style="medium">
        <color indexed="64"/>
      </bottom>
      <diagonal/>
    </border>
    <border>
      <left style="thin">
        <color auto="1"/>
      </left>
      <right style="thin">
        <color auto="1"/>
      </right>
      <top/>
      <bottom style="medium">
        <color indexed="64"/>
      </bottom>
      <diagonal/>
    </border>
    <border>
      <left style="medium">
        <color indexed="64"/>
      </left>
      <right style="thin">
        <color auto="1"/>
      </right>
      <top style="medium">
        <color indexed="64"/>
      </top>
      <bottom style="medium">
        <color indexed="64"/>
      </bottom>
      <diagonal/>
    </border>
    <border>
      <left style="thin">
        <color indexed="64"/>
      </left>
      <right style="thin">
        <color indexed="64"/>
      </right>
      <top style="thin">
        <color indexed="64"/>
      </top>
      <bottom style="thin">
        <color auto="1"/>
      </bottom>
      <diagonal/>
    </border>
    <border>
      <left style="thin">
        <color indexed="64"/>
      </left>
      <right style="thin">
        <color indexed="64"/>
      </right>
      <top/>
      <bottom/>
      <diagonal/>
    </border>
    <border>
      <left style="thin">
        <color indexed="64"/>
      </left>
      <right style="thin">
        <color indexed="64"/>
      </right>
      <top/>
      <bottom style="thin">
        <color auto="1"/>
      </bottom>
      <diagonal/>
    </border>
  </borders>
  <cellStyleXfs count="7">
    <xf numFmtId="0" fontId="0" fillId="0" borderId="0"/>
    <xf numFmtId="0" fontId="2" fillId="0" borderId="0"/>
    <xf numFmtId="0" fontId="2" fillId="0" borderId="0"/>
    <xf numFmtId="0" fontId="2" fillId="0" borderId="0"/>
    <xf numFmtId="0" fontId="2" fillId="0" borderId="0"/>
    <xf numFmtId="0" fontId="2" fillId="0" borderId="0"/>
    <xf numFmtId="0" fontId="20" fillId="0" borderId="0"/>
  </cellStyleXfs>
  <cellXfs count="154">
    <xf numFmtId="0" fontId="0" fillId="0" borderId="0" xfId="0"/>
    <xf numFmtId="0" fontId="0" fillId="0" borderId="1" xfId="0" applyBorder="1" applyAlignment="1">
      <alignment horizontal="center" vertical="center" wrapText="1"/>
    </xf>
    <xf numFmtId="0" fontId="0" fillId="0" borderId="1" xfId="0" applyBorder="1" applyAlignment="1">
      <alignment vertical="center" wrapText="1"/>
    </xf>
    <xf numFmtId="0" fontId="7" fillId="0" borderId="0" xfId="2" applyFont="1" applyAlignment="1">
      <alignment wrapText="1"/>
    </xf>
    <xf numFmtId="0" fontId="12" fillId="0" borderId="0" xfId="0" applyFont="1" applyAlignment="1">
      <alignment vertical="center"/>
    </xf>
    <xf numFmtId="0" fontId="3" fillId="3" borderId="1" xfId="0" applyFont="1" applyFill="1" applyBorder="1" applyAlignment="1">
      <alignment horizontal="center" vertical="center"/>
    </xf>
    <xf numFmtId="164" fontId="3" fillId="3" borderId="1" xfId="0" applyNumberFormat="1" applyFont="1" applyFill="1" applyBorder="1" applyAlignment="1">
      <alignment horizontal="center" vertical="center"/>
    </xf>
    <xf numFmtId="0" fontId="14" fillId="5" borderId="1" xfId="0" applyFont="1" applyFill="1" applyBorder="1" applyAlignment="1">
      <alignment horizontal="center" vertical="center" wrapText="1"/>
    </xf>
    <xf numFmtId="0" fontId="15" fillId="0" borderId="0" xfId="2" applyFont="1" applyAlignment="1">
      <alignment horizontal="center" vertical="top" wrapText="1"/>
    </xf>
    <xf numFmtId="0" fontId="10" fillId="0" borderId="0" xfId="2" applyFont="1" applyAlignment="1">
      <alignment horizontal="left" vertical="center" wrapText="1"/>
    </xf>
    <xf numFmtId="1" fontId="10" fillId="0" borderId="0" xfId="2" applyNumberFormat="1" applyFont="1" applyAlignment="1">
      <alignment horizontal="center" vertical="center" wrapText="1"/>
    </xf>
    <xf numFmtId="165" fontId="10" fillId="0" borderId="0" xfId="2" applyNumberFormat="1" applyFont="1" applyAlignment="1">
      <alignment horizontal="center" vertical="center" wrapText="1"/>
    </xf>
    <xf numFmtId="9" fontId="11" fillId="0" borderId="0" xfId="2" applyNumberFormat="1" applyFont="1" applyAlignment="1">
      <alignment horizontal="center" vertical="center" wrapText="1"/>
    </xf>
    <xf numFmtId="0" fontId="16" fillId="0" borderId="0" xfId="0" applyFont="1"/>
    <xf numFmtId="0" fontId="16" fillId="0" borderId="0" xfId="0" applyFont="1" applyAlignment="1">
      <alignment wrapText="1"/>
    </xf>
    <xf numFmtId="166" fontId="16" fillId="0" borderId="0" xfId="0" applyNumberFormat="1" applyFont="1" applyAlignment="1">
      <alignment horizontal="center"/>
    </xf>
    <xf numFmtId="0" fontId="16" fillId="0" borderId="0" xfId="0" applyFont="1" applyAlignment="1">
      <alignment horizontal="center"/>
    </xf>
    <xf numFmtId="0" fontId="0" fillId="2" borderId="1" xfId="0" applyFill="1" applyBorder="1" applyAlignment="1">
      <alignment horizontal="center" vertical="center"/>
    </xf>
    <xf numFmtId="0" fontId="0" fillId="2" borderId="1" xfId="0" applyFill="1" applyBorder="1" applyAlignment="1">
      <alignment vertical="center" wrapText="1"/>
    </xf>
    <xf numFmtId="0" fontId="5" fillId="2" borderId="1" xfId="0" applyFont="1" applyFill="1" applyBorder="1" applyAlignment="1">
      <alignment horizontal="center" vertical="center"/>
    </xf>
    <xf numFmtId="0" fontId="1" fillId="2" borderId="1" xfId="0" applyFont="1" applyFill="1" applyBorder="1" applyAlignment="1">
      <alignment vertical="center" wrapText="1"/>
    </xf>
    <xf numFmtId="0" fontId="1" fillId="2" borderId="1" xfId="0" applyFont="1" applyFill="1" applyBorder="1" applyAlignment="1">
      <alignment horizontal="left" vertical="center" wrapText="1"/>
    </xf>
    <xf numFmtId="0" fontId="0" fillId="2" borderId="1" xfId="0" applyFill="1" applyBorder="1" applyAlignment="1">
      <alignment horizontal="left" vertical="center" wrapText="1"/>
    </xf>
    <xf numFmtId="0" fontId="5" fillId="0" borderId="0" xfId="0" applyFont="1"/>
    <xf numFmtId="0" fontId="0" fillId="0" borderId="1" xfId="0" applyBorder="1" applyAlignment="1">
      <alignment vertical="center"/>
    </xf>
    <xf numFmtId="0" fontId="19" fillId="4" borderId="1" xfId="0" applyFont="1" applyFill="1" applyBorder="1"/>
    <xf numFmtId="0" fontId="1" fillId="2" borderId="32" xfId="0" applyFont="1" applyFill="1" applyBorder="1"/>
    <xf numFmtId="0" fontId="1" fillId="2" borderId="31" xfId="0" applyFont="1" applyFill="1" applyBorder="1"/>
    <xf numFmtId="0" fontId="1" fillId="2" borderId="33" xfId="0" applyFont="1" applyFill="1" applyBorder="1" applyAlignment="1">
      <alignment vertical="center" wrapText="1"/>
    </xf>
    <xf numFmtId="0" fontId="20" fillId="0" borderId="0" xfId="6"/>
    <xf numFmtId="0" fontId="0" fillId="11" borderId="0" xfId="0" applyFill="1"/>
    <xf numFmtId="0" fontId="8" fillId="11" borderId="0" xfId="0" applyFont="1" applyFill="1" applyAlignment="1">
      <alignment vertical="center" wrapText="1"/>
    </xf>
    <xf numFmtId="0" fontId="17" fillId="4" borderId="1" xfId="0" applyFont="1" applyFill="1" applyBorder="1" applyAlignment="1">
      <alignment horizontal="center" vertical="center" wrapText="1"/>
    </xf>
    <xf numFmtId="166" fontId="23" fillId="7" borderId="2" xfId="0" applyNumberFormat="1" applyFont="1" applyFill="1" applyBorder="1" applyAlignment="1">
      <alignment horizontal="center" vertical="center" wrapText="1"/>
    </xf>
    <xf numFmtId="0" fontId="23" fillId="7" borderId="2" xfId="0" applyFont="1" applyFill="1" applyBorder="1" applyAlignment="1">
      <alignment horizontal="center" vertical="center" wrapText="1"/>
    </xf>
    <xf numFmtId="0" fontId="23" fillId="7" borderId="7" xfId="0" applyFont="1" applyFill="1" applyBorder="1" applyAlignment="1">
      <alignment horizontal="center" vertical="center" wrapText="1"/>
    </xf>
    <xf numFmtId="0" fontId="23" fillId="7" borderId="30" xfId="0" applyFont="1" applyFill="1" applyBorder="1" applyAlignment="1">
      <alignment horizontal="center" vertical="center" wrapText="1"/>
    </xf>
    <xf numFmtId="0" fontId="22" fillId="8" borderId="1" xfId="0" applyFont="1" applyFill="1" applyBorder="1" applyAlignment="1">
      <alignment vertical="center"/>
    </xf>
    <xf numFmtId="0" fontId="25" fillId="10" borderId="1" xfId="0" applyFont="1" applyFill="1" applyBorder="1" applyAlignment="1">
      <alignment vertical="center"/>
    </xf>
    <xf numFmtId="0" fontId="25" fillId="10" borderId="1" xfId="0" applyFont="1" applyFill="1" applyBorder="1" applyAlignment="1">
      <alignment vertical="center" wrapText="1"/>
    </xf>
    <xf numFmtId="0" fontId="27" fillId="5" borderId="1" xfId="0" applyFont="1" applyFill="1" applyBorder="1" applyAlignment="1">
      <alignment horizontal="center" vertical="center" wrapText="1" readingOrder="1"/>
    </xf>
    <xf numFmtId="0" fontId="28" fillId="5" borderId="1" xfId="0" applyFont="1" applyFill="1" applyBorder="1" applyAlignment="1">
      <alignment horizontal="center" vertical="center" wrapText="1" readingOrder="1"/>
    </xf>
    <xf numFmtId="3" fontId="27" fillId="5" borderId="1" xfId="0" applyNumberFormat="1" applyFont="1" applyFill="1" applyBorder="1" applyAlignment="1">
      <alignment horizontal="center" vertical="center" wrapText="1" readingOrder="1"/>
    </xf>
    <xf numFmtId="0" fontId="5" fillId="0" borderId="1" xfId="0" applyFont="1" applyBorder="1" applyAlignment="1">
      <alignment horizontal="center" vertical="center" wrapText="1"/>
    </xf>
    <xf numFmtId="0" fontId="0" fillId="0" borderId="1" xfId="0" applyBorder="1" applyAlignment="1">
      <alignment horizontal="left" vertical="center" wrapText="1"/>
    </xf>
    <xf numFmtId="0" fontId="19" fillId="12" borderId="13" xfId="0" applyFont="1" applyFill="1" applyBorder="1" applyAlignment="1">
      <alignment horizontal="center" vertical="center"/>
    </xf>
    <xf numFmtId="0" fontId="1" fillId="0" borderId="0" xfId="2" applyFont="1" applyAlignment="1">
      <alignment wrapText="1"/>
    </xf>
    <xf numFmtId="0" fontId="9" fillId="6" borderId="16" xfId="2" applyFont="1" applyFill="1" applyBorder="1" applyAlignment="1">
      <alignment horizontal="left" vertical="center" wrapText="1"/>
    </xf>
    <xf numFmtId="0" fontId="9" fillId="6" borderId="17" xfId="2" applyFont="1" applyFill="1" applyBorder="1" applyAlignment="1">
      <alignment horizontal="center" vertical="center" wrapText="1"/>
    </xf>
    <xf numFmtId="0" fontId="9" fillId="6" borderId="18" xfId="2" applyFont="1" applyFill="1" applyBorder="1" applyAlignment="1">
      <alignment horizontal="center" vertical="center" wrapText="1"/>
    </xf>
    <xf numFmtId="0" fontId="29" fillId="0" borderId="14" xfId="2" applyFont="1" applyBorder="1" applyAlignment="1">
      <alignment horizontal="left" vertical="center" wrapText="1"/>
    </xf>
    <xf numFmtId="1" fontId="11" fillId="0" borderId="5" xfId="2" applyNumberFormat="1" applyFont="1" applyBorder="1" applyAlignment="1">
      <alignment horizontal="center" vertical="center" wrapText="1"/>
    </xf>
    <xf numFmtId="165" fontId="11" fillId="0" borderId="5" xfId="2" applyNumberFormat="1" applyFont="1" applyBorder="1" applyAlignment="1">
      <alignment horizontal="center" vertical="center" wrapText="1"/>
    </xf>
    <xf numFmtId="9" fontId="11" fillId="0" borderId="15" xfId="2" applyNumberFormat="1" applyFont="1" applyBorder="1" applyAlignment="1">
      <alignment horizontal="center" vertical="center" wrapText="1"/>
    </xf>
    <xf numFmtId="0" fontId="29" fillId="0" borderId="19" xfId="2" applyFont="1" applyBorder="1" applyAlignment="1">
      <alignment horizontal="left" vertical="center" wrapText="1"/>
    </xf>
    <xf numFmtId="1" fontId="11" fillId="0" borderId="20" xfId="2" applyNumberFormat="1" applyFont="1" applyBorder="1" applyAlignment="1">
      <alignment horizontal="center" vertical="center" wrapText="1"/>
    </xf>
    <xf numFmtId="165" fontId="11" fillId="0" borderId="20" xfId="2" applyNumberFormat="1" applyFont="1" applyBorder="1" applyAlignment="1">
      <alignment horizontal="center" vertical="center" wrapText="1"/>
    </xf>
    <xf numFmtId="9" fontId="11" fillId="0" borderId="21" xfId="2" applyNumberFormat="1" applyFont="1" applyBorder="1" applyAlignment="1">
      <alignment horizontal="center" vertical="center" wrapText="1"/>
    </xf>
    <xf numFmtId="0" fontId="27" fillId="5" borderId="31" xfId="0" applyFont="1" applyFill="1" applyBorder="1" applyAlignment="1">
      <alignment horizontal="center" vertical="center" wrapText="1" readingOrder="1"/>
    </xf>
    <xf numFmtId="0" fontId="28" fillId="5" borderId="31" xfId="0" applyFont="1" applyFill="1" applyBorder="1" applyAlignment="1">
      <alignment horizontal="center" vertical="center" wrapText="1" readingOrder="1"/>
    </xf>
    <xf numFmtId="3" fontId="27" fillId="5" borderId="31" xfId="0" applyNumberFormat="1" applyFont="1" applyFill="1" applyBorder="1" applyAlignment="1">
      <alignment horizontal="center" vertical="center" wrapText="1" readingOrder="1"/>
    </xf>
    <xf numFmtId="0" fontId="27" fillId="5" borderId="42" xfId="0" applyFont="1" applyFill="1" applyBorder="1" applyAlignment="1">
      <alignment horizontal="center" vertical="center" wrapText="1" readingOrder="1"/>
    </xf>
    <xf numFmtId="0" fontId="27" fillId="5" borderId="33" xfId="0" applyFont="1" applyFill="1" applyBorder="1" applyAlignment="1">
      <alignment horizontal="center" vertical="center" wrapText="1" readingOrder="1"/>
    </xf>
    <xf numFmtId="0" fontId="30" fillId="12" borderId="0" xfId="6" applyFont="1" applyFill="1" applyAlignment="1">
      <alignment horizontal="center" vertical="center" wrapText="1"/>
    </xf>
    <xf numFmtId="0" fontId="19" fillId="12" borderId="0" xfId="6" applyFont="1" applyFill="1" applyAlignment="1">
      <alignment horizontal="center" vertical="center"/>
    </xf>
    <xf numFmtId="0" fontId="9" fillId="8" borderId="0" xfId="6" applyFont="1" applyFill="1" applyAlignment="1">
      <alignment horizontal="center" vertical="center" wrapText="1"/>
    </xf>
    <xf numFmtId="0" fontId="19" fillId="12" borderId="0" xfId="6" applyFont="1" applyFill="1" applyAlignment="1">
      <alignment horizontal="center" vertical="center" wrapText="1"/>
    </xf>
    <xf numFmtId="0" fontId="31" fillId="11" borderId="0" xfId="0" applyFont="1" applyFill="1"/>
    <xf numFmtId="0" fontId="19" fillId="12" borderId="0" xfId="0" applyFont="1" applyFill="1" applyAlignment="1">
      <alignment horizontal="center" vertical="center" wrapText="1"/>
    </xf>
    <xf numFmtId="0" fontId="4" fillId="11" borderId="0" xfId="0" applyFont="1" applyFill="1"/>
    <xf numFmtId="9" fontId="32" fillId="12" borderId="0" xfId="0" applyNumberFormat="1" applyFont="1" applyFill="1" applyAlignment="1">
      <alignment horizontal="center" vertical="center"/>
    </xf>
    <xf numFmtId="0" fontId="0" fillId="0" borderId="0" xfId="0" applyAlignment="1">
      <alignment vertical="center"/>
    </xf>
    <xf numFmtId="0" fontId="0" fillId="0" borderId="0" xfId="0" applyAlignment="1">
      <alignment horizontal="center" vertical="center" wrapText="1"/>
    </xf>
    <xf numFmtId="0" fontId="5" fillId="0" borderId="0" xfId="0" applyFont="1" applyAlignment="1">
      <alignment vertical="center"/>
    </xf>
    <xf numFmtId="0" fontId="5" fillId="0" borderId="52" xfId="0" applyFont="1" applyBorder="1" applyAlignment="1">
      <alignment vertical="center" wrapText="1"/>
    </xf>
    <xf numFmtId="0" fontId="0" fillId="0" borderId="52" xfId="0" applyBorder="1" applyAlignment="1">
      <alignment vertical="center" wrapText="1"/>
    </xf>
    <xf numFmtId="0" fontId="0" fillId="0" borderId="52" xfId="0" applyBorder="1" applyAlignment="1">
      <alignment horizontal="center" vertical="center" wrapText="1"/>
    </xf>
    <xf numFmtId="0" fontId="5" fillId="0" borderId="0" xfId="0" applyFont="1" applyAlignment="1">
      <alignment vertical="center" wrapText="1"/>
    </xf>
    <xf numFmtId="0" fontId="0" fillId="0" borderId="0" xfId="0" applyAlignment="1">
      <alignment vertical="center" wrapText="1"/>
    </xf>
    <xf numFmtId="0" fontId="9" fillId="6" borderId="52" xfId="0" applyFont="1" applyFill="1" applyBorder="1" applyAlignment="1">
      <alignment horizontal="center" vertical="center" wrapText="1"/>
    </xf>
    <xf numFmtId="0" fontId="9" fillId="6" borderId="52" xfId="0" applyFont="1" applyFill="1" applyBorder="1" applyAlignment="1">
      <alignment vertical="center" wrapText="1"/>
    </xf>
    <xf numFmtId="0" fontId="9" fillId="0" borderId="0" xfId="0" applyFont="1" applyAlignment="1">
      <alignment horizontal="center" vertical="center" wrapText="1"/>
    </xf>
    <xf numFmtId="0" fontId="0" fillId="0" borderId="0" xfId="0"/>
    <xf numFmtId="0" fontId="9" fillId="12" borderId="0" xfId="6" applyFont="1" applyFill="1" applyAlignment="1">
      <alignment horizontal="center" vertical="center"/>
    </xf>
    <xf numFmtId="0" fontId="9" fillId="12" borderId="0" xfId="6" applyFont="1" applyFill="1" applyAlignment="1">
      <alignment horizontal="center" vertical="center" wrapText="1"/>
    </xf>
    <xf numFmtId="0" fontId="9" fillId="6" borderId="1" xfId="2" applyFont="1" applyFill="1" applyBorder="1" applyAlignment="1">
      <alignment horizontal="center" vertical="center" textRotation="90" wrapText="1"/>
    </xf>
    <xf numFmtId="0" fontId="0" fillId="0" borderId="11" xfId="0" applyBorder="1"/>
    <xf numFmtId="0" fontId="0" fillId="0" borderId="2" xfId="0" applyBorder="1"/>
    <xf numFmtId="0" fontId="6" fillId="2" borderId="0" xfId="0" applyFont="1" applyFill="1" applyAlignment="1">
      <alignment horizontal="center"/>
    </xf>
    <xf numFmtId="0" fontId="7" fillId="0" borderId="0" xfId="2" applyFont="1" applyAlignment="1">
      <alignment wrapText="1"/>
    </xf>
    <xf numFmtId="0" fontId="24" fillId="0" borderId="34" xfId="2" applyFont="1" applyBorder="1" applyAlignment="1">
      <alignment horizontal="center" vertical="center" wrapText="1"/>
    </xf>
    <xf numFmtId="0" fontId="0" fillId="0" borderId="10" xfId="0" applyBorder="1"/>
    <xf numFmtId="0" fontId="0" fillId="0" borderId="34" xfId="0" applyBorder="1"/>
    <xf numFmtId="0" fontId="5" fillId="0" borderId="0" xfId="2" applyFont="1" applyAlignment="1">
      <alignment horizontal="center" vertical="center" wrapText="1"/>
    </xf>
    <xf numFmtId="0" fontId="15" fillId="0" borderId="8" xfId="2" applyFont="1" applyBorder="1" applyAlignment="1">
      <alignment horizontal="center" vertical="top" wrapText="1"/>
    </xf>
    <xf numFmtId="0" fontId="0" fillId="0" borderId="24" xfId="0" applyBorder="1"/>
    <xf numFmtId="0" fontId="0" fillId="0" borderId="25" xfId="0" applyBorder="1"/>
    <xf numFmtId="0" fontId="0" fillId="0" borderId="26" xfId="0" applyBorder="1"/>
    <xf numFmtId="0" fontId="0" fillId="0" borderId="27" xfId="0" applyBorder="1"/>
    <xf numFmtId="0" fontId="0" fillId="0" borderId="28" xfId="0" applyBorder="1"/>
    <xf numFmtId="0" fontId="0" fillId="0" borderId="29" xfId="0" applyBorder="1"/>
    <xf numFmtId="0" fontId="0" fillId="0" borderId="12" xfId="0" applyBorder="1"/>
    <xf numFmtId="0" fontId="5" fillId="0" borderId="24" xfId="2" applyFont="1" applyBorder="1" applyAlignment="1">
      <alignment horizontal="center" vertical="center" wrapText="1"/>
    </xf>
    <xf numFmtId="0" fontId="7" fillId="0" borderId="1" xfId="2" applyFont="1" applyBorder="1" applyAlignment="1">
      <alignment horizontal="center" wrapText="1"/>
    </xf>
    <xf numFmtId="0" fontId="0" fillId="0" borderId="4" xfId="0" applyBorder="1"/>
    <xf numFmtId="0" fontId="0" fillId="0" borderId="1" xfId="0" applyBorder="1" applyAlignment="1">
      <alignment horizontal="center" vertical="center" wrapText="1"/>
    </xf>
    <xf numFmtId="0" fontId="0" fillId="0" borderId="1" xfId="0" applyBorder="1" applyAlignment="1">
      <alignment horizontal="center" wrapText="1"/>
    </xf>
    <xf numFmtId="0" fontId="22" fillId="8" borderId="0" xfId="0" applyFont="1" applyFill="1" applyAlignment="1">
      <alignment horizontal="center" vertical="center"/>
    </xf>
    <xf numFmtId="0" fontId="5" fillId="2" borderId="1" xfId="0" applyFont="1" applyFill="1" applyBorder="1" applyAlignment="1">
      <alignment horizontal="center" vertical="center"/>
    </xf>
    <xf numFmtId="0" fontId="0" fillId="0" borderId="1" xfId="0" applyBorder="1" applyAlignment="1">
      <alignment horizontal="left" wrapText="1"/>
    </xf>
    <xf numFmtId="0" fontId="0" fillId="0" borderId="1" xfId="0" applyBorder="1" applyAlignment="1">
      <alignment horizontal="left" vertical="center" wrapText="1"/>
    </xf>
    <xf numFmtId="0" fontId="0" fillId="0" borderId="1" xfId="0" applyBorder="1" applyAlignment="1">
      <alignment horizontal="left" vertical="center"/>
    </xf>
    <xf numFmtId="0" fontId="17" fillId="4" borderId="1" xfId="0" applyFont="1" applyFill="1" applyBorder="1" applyAlignment="1">
      <alignment horizontal="center" vertical="center" wrapText="1"/>
    </xf>
    <xf numFmtId="0" fontId="0" fillId="0" borderId="3" xfId="0" applyBorder="1"/>
    <xf numFmtId="0" fontId="13" fillId="5" borderId="6" xfId="0" applyFont="1" applyFill="1" applyBorder="1" applyAlignment="1">
      <alignment horizontal="center" vertical="center" wrapText="1"/>
    </xf>
    <xf numFmtId="0" fontId="13" fillId="5" borderId="1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3" fillId="5" borderId="44" xfId="0" applyFont="1" applyFill="1" applyBorder="1" applyAlignment="1">
      <alignment horizontal="center" vertical="center"/>
    </xf>
    <xf numFmtId="0" fontId="0" fillId="0" borderId="22" xfId="0" applyBorder="1"/>
    <xf numFmtId="0" fontId="0" fillId="0" borderId="45" xfId="0" applyBorder="1"/>
    <xf numFmtId="0" fontId="0" fillId="0" borderId="23" xfId="0" applyBorder="1"/>
    <xf numFmtId="0" fontId="21" fillId="4" borderId="1" xfId="0" applyFont="1" applyFill="1" applyBorder="1" applyAlignment="1">
      <alignment horizontal="center" vertical="center" wrapText="1"/>
    </xf>
    <xf numFmtId="0" fontId="22" fillId="6" borderId="46" xfId="0" applyFont="1" applyFill="1" applyBorder="1" applyAlignment="1">
      <alignment horizontal="center" vertical="center" wrapText="1"/>
    </xf>
    <xf numFmtId="0" fontId="0" fillId="0" borderId="37" xfId="0" applyBorder="1"/>
    <xf numFmtId="0" fontId="0" fillId="0" borderId="38" xfId="0" applyBorder="1"/>
    <xf numFmtId="0" fontId="27" fillId="5" borderId="47" xfId="0" applyFont="1" applyFill="1" applyBorder="1" applyAlignment="1">
      <alignment horizontal="center" vertical="center" wrapText="1" readingOrder="1"/>
    </xf>
    <xf numFmtId="0" fontId="0" fillId="0" borderId="48" xfId="0" applyBorder="1"/>
    <xf numFmtId="0" fontId="27" fillId="5" borderId="39" xfId="0" applyFont="1" applyFill="1" applyBorder="1" applyAlignment="1">
      <alignment horizontal="center" vertical="center" wrapText="1" readingOrder="1"/>
    </xf>
    <xf numFmtId="0" fontId="0" fillId="0" borderId="41" xfId="0" applyBorder="1"/>
    <xf numFmtId="0" fontId="28" fillId="5" borderId="1" xfId="0" applyFont="1" applyFill="1" applyBorder="1" applyAlignment="1">
      <alignment horizontal="center" vertical="center" wrapText="1" readingOrder="1"/>
    </xf>
    <xf numFmtId="0" fontId="27" fillId="5" borderId="1" xfId="0" applyFont="1" applyFill="1" applyBorder="1" applyAlignment="1">
      <alignment horizontal="center" vertical="center" wrapText="1" readingOrder="1"/>
    </xf>
    <xf numFmtId="0" fontId="0" fillId="0" borderId="40" xfId="0" applyBorder="1"/>
    <xf numFmtId="0" fontId="27" fillId="5" borderId="49" xfId="0" applyFont="1" applyFill="1" applyBorder="1" applyAlignment="1">
      <alignment horizontal="center" vertical="center" wrapText="1" readingOrder="1"/>
    </xf>
    <xf numFmtId="0" fontId="0" fillId="0" borderId="50" xfId="0" applyBorder="1"/>
    <xf numFmtId="0" fontId="26" fillId="4" borderId="1" xfId="0" applyFont="1" applyFill="1" applyBorder="1" applyAlignment="1">
      <alignment horizontal="center" vertical="center" wrapText="1"/>
    </xf>
    <xf numFmtId="166" fontId="16" fillId="0" borderId="1" xfId="0" applyNumberFormat="1" applyFont="1" applyBorder="1" applyAlignment="1">
      <alignment horizontal="center" vertical="center" wrapText="1"/>
    </xf>
    <xf numFmtId="0" fontId="16" fillId="0" borderId="1" xfId="0" applyFont="1" applyBorder="1" applyAlignment="1">
      <alignment horizontal="center" vertical="center" wrapText="1"/>
    </xf>
    <xf numFmtId="0" fontId="16" fillId="0" borderId="52" xfId="0" applyFont="1" applyBorder="1" applyAlignment="1">
      <alignment horizontal="center"/>
    </xf>
    <xf numFmtId="0" fontId="0" fillId="0" borderId="53" xfId="0" applyBorder="1"/>
    <xf numFmtId="0" fontId="0" fillId="0" borderId="54" xfId="0" applyBorder="1"/>
    <xf numFmtId="0" fontId="5" fillId="0" borderId="1" xfId="0" applyFont="1" applyBorder="1" applyAlignment="1">
      <alignment horizontal="center" vertical="center" wrapText="1"/>
    </xf>
    <xf numFmtId="0" fontId="24" fillId="0" borderId="1" xfId="0" applyFont="1" applyBorder="1" applyAlignment="1">
      <alignment horizontal="center" vertical="center" wrapText="1"/>
    </xf>
    <xf numFmtId="0" fontId="22" fillId="8" borderId="1" xfId="0" applyFont="1" applyFill="1" applyBorder="1" applyAlignment="1">
      <alignment horizontal="center" vertical="center" wrapText="1"/>
    </xf>
    <xf numFmtId="0" fontId="24" fillId="9" borderId="1" xfId="0" applyFont="1" applyFill="1" applyBorder="1" applyAlignment="1">
      <alignment horizontal="center" vertical="center" wrapText="1"/>
    </xf>
    <xf numFmtId="0" fontId="5" fillId="0" borderId="1" xfId="0" applyFont="1" applyBorder="1" applyAlignment="1">
      <alignment horizontal="center" vertical="center"/>
    </xf>
    <xf numFmtId="0" fontId="13" fillId="2" borderId="51" xfId="0" applyFont="1" applyFill="1" applyBorder="1" applyAlignment="1">
      <alignment horizontal="center" vertical="center" wrapText="1"/>
    </xf>
    <xf numFmtId="0" fontId="0" fillId="0" borderId="35" xfId="0" applyBorder="1"/>
    <xf numFmtId="0" fontId="0" fillId="0" borderId="43" xfId="0" applyBorder="1"/>
    <xf numFmtId="0" fontId="0" fillId="0" borderId="36" xfId="0" applyBorder="1"/>
    <xf numFmtId="0" fontId="0" fillId="0" borderId="8" xfId="0" applyBorder="1" applyAlignment="1">
      <alignment horizontal="left" vertical="center" wrapText="1"/>
    </xf>
    <xf numFmtId="0" fontId="0" fillId="0" borderId="9" xfId="0" applyBorder="1"/>
    <xf numFmtId="0" fontId="0" fillId="0" borderId="8" xfId="0" applyBorder="1" applyAlignment="1">
      <alignment horizontal="left" vertical="top" wrapText="1"/>
    </xf>
    <xf numFmtId="0" fontId="18" fillId="4" borderId="1" xfId="0" applyFont="1" applyFill="1" applyBorder="1" applyAlignment="1">
      <alignment horizontal="center"/>
    </xf>
    <xf numFmtId="0" fontId="19" fillId="4" borderId="1" xfId="0" applyFont="1" applyFill="1" applyBorder="1" applyAlignment="1">
      <alignment horizontal="center"/>
    </xf>
  </cellXfs>
  <cellStyles count="7">
    <cellStyle name="Hipervínculo" xfId="6" builtinId="8"/>
    <cellStyle name="Normal" xfId="0" builtinId="0"/>
    <cellStyle name="Normal 2 2" xfId="2" xr:uid="{00000000-0005-0000-0000-000002000000}"/>
    <cellStyle name="Normal 2 2 2" xfId="5" xr:uid="{00000000-0005-0000-0000-000005000000}"/>
    <cellStyle name="Normal 3" xfId="3" xr:uid="{00000000-0005-0000-0000-000003000000}"/>
    <cellStyle name="Normal 3 2" xfId="4" xr:uid="{00000000-0005-0000-0000-000004000000}"/>
    <cellStyle name="Normal 4" xfId="1" xr:uid="{00000000-0005-0000-0000-000001000000}"/>
  </cellStyles>
  <dxfs count="18">
    <dxf>
      <font>
        <strike val="0"/>
        <condense val="0"/>
        <extend val="0"/>
        <outline val="0"/>
        <shadow val="0"/>
        <vertAlign val="baseline"/>
        <sz val="11"/>
        <color indexed="8"/>
        <name val="Calibri"/>
        <scheme val="minor"/>
      </font>
      <numFmt numFmtId="13" formatCode="0%"/>
      <fill>
        <patternFill>
          <fgColor indexed="64"/>
          <bgColor indexed="65"/>
        </patternFill>
      </fill>
      <alignment horizontal="center" vertical="center" wrapText="1"/>
      <border outline="0">
        <left style="medium">
          <color indexed="23"/>
        </left>
        <right/>
        <top style="medium">
          <color indexed="23"/>
        </top>
        <bottom style="medium">
          <color indexed="23"/>
        </bottom>
      </border>
    </dxf>
    <dxf>
      <font>
        <strike val="0"/>
        <condense val="0"/>
        <extend val="0"/>
        <outline val="0"/>
        <shadow val="0"/>
        <vertAlign val="baseline"/>
        <sz val="11"/>
        <color indexed="8"/>
        <name val="Calibri"/>
        <scheme val="minor"/>
      </font>
      <numFmt numFmtId="165" formatCode="#,##0.0"/>
      <fill>
        <patternFill>
          <fgColor indexed="64"/>
          <bgColor indexed="65"/>
        </patternFill>
      </fill>
      <alignment horizontal="center" vertical="center" wrapText="1"/>
      <border outline="0">
        <left style="medium">
          <color indexed="23"/>
        </left>
        <right style="medium">
          <color indexed="23"/>
        </right>
        <top style="medium">
          <color indexed="23"/>
        </top>
        <bottom style="medium">
          <color indexed="23"/>
        </bottom>
      </border>
    </dxf>
    <dxf>
      <font>
        <strike val="0"/>
        <condense val="0"/>
        <extend val="0"/>
        <outline val="0"/>
        <shadow val="0"/>
        <vertAlign val="baseline"/>
        <sz val="11"/>
        <color indexed="8"/>
        <name val="Calibri"/>
        <scheme val="minor"/>
      </font>
      <numFmt numFmtId="1" formatCode="0"/>
      <fill>
        <patternFill>
          <fgColor indexed="64"/>
          <bgColor indexed="65"/>
        </patternFill>
      </fill>
      <alignment horizontal="center" vertical="center" wrapText="1"/>
      <border outline="0">
        <left/>
        <right style="medium">
          <color indexed="23"/>
        </right>
        <top style="medium">
          <color indexed="23"/>
        </top>
        <bottom style="medium">
          <color indexed="23"/>
        </bottom>
      </border>
    </dxf>
    <dxf>
      <font>
        <b/>
        <strike val="0"/>
        <condense val="0"/>
        <extend val="0"/>
        <outline val="0"/>
        <shadow val="0"/>
        <vertAlign val="baseline"/>
        <sz val="11"/>
        <color indexed="8"/>
        <name val="Calibri"/>
        <scheme val="minor"/>
      </font>
      <fill>
        <patternFill>
          <fgColor indexed="64"/>
          <bgColor indexed="65"/>
        </patternFill>
      </fill>
      <alignment horizontal="left" vertical="center" wrapText="1"/>
      <border outline="0">
        <left/>
        <right style="medium">
          <color indexed="23"/>
        </right>
        <top style="medium">
          <color indexed="23"/>
        </top>
        <bottom style="medium">
          <color indexed="23"/>
        </bottom>
      </border>
    </dxf>
    <dxf>
      <border outline="0">
        <top style="medium">
          <color indexed="23"/>
        </top>
      </border>
    </dxf>
    <dxf>
      <border outline="0">
        <left style="medium">
          <color indexed="23"/>
        </left>
        <right style="medium">
          <color indexed="23"/>
        </right>
        <top style="medium">
          <color indexed="23"/>
        </top>
        <bottom style="medium">
          <color indexed="23"/>
        </bottom>
      </border>
    </dxf>
    <dxf>
      <font>
        <strike val="0"/>
        <outline val="0"/>
        <shadow val="0"/>
        <vertAlign val="baseline"/>
        <sz val="11"/>
        <color indexed="8"/>
        <name val="Calibri"/>
        <scheme val="minor"/>
      </font>
    </dxf>
    <dxf>
      <border outline="0">
        <bottom style="medium">
          <color indexed="23"/>
        </bottom>
      </border>
    </dxf>
    <dxf>
      <font>
        <b/>
        <strike val="0"/>
        <condense val="0"/>
        <extend val="0"/>
        <outline val="0"/>
        <shadow val="0"/>
        <vertAlign val="baseline"/>
        <sz val="11"/>
        <color theme="0"/>
        <name val="Calibri"/>
        <scheme val="minor"/>
      </font>
      <fill>
        <patternFill patternType="solid">
          <fgColor indexed="64"/>
          <bgColor theme="4" tint="-0.249977111117893"/>
        </patternFill>
      </fill>
      <alignment horizontal="center" vertical="center" wrapText="1"/>
      <border outline="0">
        <left style="medium">
          <color indexed="23"/>
        </left>
        <right style="medium">
          <color indexed="23"/>
        </right>
        <top/>
        <bottom/>
      </border>
    </dxf>
    <dxf>
      <font>
        <strike val="0"/>
        <condense val="0"/>
        <extend val="0"/>
        <outline val="0"/>
        <shadow val="0"/>
        <vertAlign val="baseline"/>
        <sz val="11"/>
        <color indexed="8"/>
        <name val="Calibri"/>
        <scheme val="minor"/>
      </font>
      <numFmt numFmtId="13" formatCode="0%"/>
      <fill>
        <patternFill>
          <fgColor indexed="64"/>
          <bgColor indexed="65"/>
        </patternFill>
      </fill>
      <alignment horizontal="center" vertical="center" wrapText="1"/>
      <border outline="0">
        <left style="medium">
          <color indexed="23"/>
        </left>
        <right/>
        <top style="medium">
          <color indexed="23"/>
        </top>
        <bottom style="medium">
          <color indexed="23"/>
        </bottom>
      </border>
    </dxf>
    <dxf>
      <font>
        <strike val="0"/>
        <condense val="0"/>
        <extend val="0"/>
        <outline val="0"/>
        <shadow val="0"/>
        <vertAlign val="baseline"/>
        <sz val="11"/>
        <color indexed="8"/>
        <name val="Calibri"/>
        <scheme val="minor"/>
      </font>
      <numFmt numFmtId="165" formatCode="#,##0.0"/>
      <fill>
        <patternFill>
          <fgColor indexed="64"/>
          <bgColor indexed="65"/>
        </patternFill>
      </fill>
      <alignment horizontal="center" vertical="center" wrapText="1"/>
      <border outline="0">
        <left style="medium">
          <color indexed="23"/>
        </left>
        <right style="medium">
          <color indexed="23"/>
        </right>
        <top style="medium">
          <color indexed="23"/>
        </top>
        <bottom style="medium">
          <color indexed="23"/>
        </bottom>
      </border>
    </dxf>
    <dxf>
      <font>
        <strike val="0"/>
        <condense val="0"/>
        <extend val="0"/>
        <outline val="0"/>
        <shadow val="0"/>
        <vertAlign val="baseline"/>
        <sz val="11"/>
        <color indexed="8"/>
        <name val="Calibri"/>
        <scheme val="minor"/>
      </font>
      <numFmt numFmtId="1" formatCode="0"/>
      <fill>
        <patternFill>
          <fgColor indexed="64"/>
          <bgColor indexed="65"/>
        </patternFill>
      </fill>
      <alignment horizontal="center" vertical="center" wrapText="1"/>
      <border outline="0">
        <left/>
        <right style="medium">
          <color indexed="23"/>
        </right>
        <top style="medium">
          <color indexed="23"/>
        </top>
        <bottom style="medium">
          <color indexed="23"/>
        </bottom>
      </border>
    </dxf>
    <dxf>
      <font>
        <b/>
        <strike val="0"/>
        <condense val="0"/>
        <extend val="0"/>
        <outline val="0"/>
        <shadow val="0"/>
        <vertAlign val="baseline"/>
        <sz val="11"/>
        <color indexed="8"/>
        <name val="Calibri"/>
        <scheme val="minor"/>
      </font>
      <fill>
        <patternFill>
          <fgColor indexed="64"/>
          <bgColor indexed="65"/>
        </patternFill>
      </fill>
      <alignment horizontal="left" vertical="center" wrapText="1"/>
      <border outline="0">
        <left/>
        <right style="medium">
          <color indexed="23"/>
        </right>
        <top style="medium">
          <color indexed="23"/>
        </top>
        <bottom style="medium">
          <color indexed="23"/>
        </bottom>
      </border>
    </dxf>
    <dxf>
      <border outline="0">
        <top style="medium">
          <color indexed="23"/>
        </top>
      </border>
    </dxf>
    <dxf>
      <border outline="0">
        <left style="medium">
          <color indexed="23"/>
        </left>
        <right style="medium">
          <color indexed="23"/>
        </right>
        <top style="medium">
          <color indexed="23"/>
        </top>
        <bottom style="medium">
          <color indexed="23"/>
        </bottom>
      </border>
    </dxf>
    <dxf>
      <font>
        <strike val="0"/>
        <outline val="0"/>
        <shadow val="0"/>
        <vertAlign val="baseline"/>
        <sz val="11"/>
        <color indexed="8"/>
        <name val="Calibri"/>
        <scheme val="minor"/>
      </font>
    </dxf>
    <dxf>
      <border outline="0">
        <bottom style="medium">
          <color indexed="23"/>
        </bottom>
      </border>
    </dxf>
    <dxf>
      <font>
        <b/>
        <strike val="0"/>
        <condense val="0"/>
        <extend val="0"/>
        <outline val="0"/>
        <shadow val="0"/>
        <vertAlign val="baseline"/>
        <sz val="11"/>
        <color theme="0"/>
        <name val="Calibri"/>
        <scheme val="minor"/>
      </font>
      <fill>
        <patternFill patternType="solid">
          <fgColor indexed="64"/>
          <bgColor theme="4" tint="-0.249977111117893"/>
        </patternFill>
      </fill>
      <alignment horizontal="center" vertical="center" wrapText="1"/>
      <border outline="0">
        <left style="medium">
          <color indexed="23"/>
        </left>
        <right style="medium">
          <color indexed="23"/>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1" i="0" strike="noStrike" kern="1200" baseline="0">
                <a:solidFill>
                  <a:sysClr val="windowText" lastClr="000000"/>
                </a:solidFill>
                <a:latin typeface="+mn-lt"/>
                <a:ea typeface="+mn-ea"/>
                <a:cs typeface="+mn-cs"/>
              </a:defRPr>
            </a:pPr>
            <a:r>
              <a:rPr lang="es-CO" sz="1050"/>
              <a:t>% DE CUMPLIMIENTO LEGAL</a:t>
            </a:r>
          </a:p>
        </c:rich>
      </c:tx>
      <c:overlay val="0"/>
      <c:spPr>
        <a:noFill/>
        <a:ln>
          <a:noFill/>
          <a:prstDash val="solid"/>
        </a:ln>
      </c:spPr>
    </c:title>
    <c:autoTitleDeleted val="0"/>
    <c:plotArea>
      <c:layout>
        <c:manualLayout>
          <c:layoutTarget val="inner"/>
          <c:xMode val="edge"/>
          <c:yMode val="edge"/>
          <c:x val="6.4317670083102366E-2"/>
          <c:y val="0.15176867560425969"/>
          <c:w val="0.74809623766405797"/>
          <c:h val="0.70438508624271179"/>
        </c:manualLayout>
      </c:layout>
      <c:barChart>
        <c:barDir val="col"/>
        <c:grouping val="clustered"/>
        <c:varyColors val="0"/>
        <c:ser>
          <c:idx val="0"/>
          <c:order val="0"/>
          <c:tx>
            <c:strRef>
              <c:f>'% Cumplimiento'!$B$3</c:f>
              <c:strCache>
                <c:ptCount val="1"/>
                <c:pt idx="0">
                  <c:v>EVALUACIÓN 2025</c:v>
                </c:pt>
              </c:strCache>
            </c:strRef>
          </c:tx>
          <c:spPr>
            <a:solidFill>
              <a:schemeClr val="accent6">
                <a:lumMod val="60000"/>
                <a:lumOff val="40000"/>
              </a:schemeClr>
            </a:solidFill>
            <a:ln>
              <a:noFill/>
              <a:prstDash val="solid"/>
            </a:ln>
            <a:sp3d/>
          </c:spPr>
          <c:invertIfNegative val="0"/>
          <c:dLbls>
            <c:spPr>
              <a:noFill/>
              <a:ln>
                <a:noFill/>
                <a:prstDash val="solid"/>
              </a:ln>
            </c:spPr>
            <c:txPr>
              <a:bodyPr rot="0" spcFirstLastPara="1" vertOverflow="ellipsis" vert="horz" wrap="square" lIns="38100" tIns="19050" rIns="38100" bIns="19050" anchor="ctr" anchorCtr="1">
                <a:spAutoFit/>
              </a:bodyPr>
              <a:lstStyle/>
              <a:p>
                <a:pPr>
                  <a:defRPr sz="1000" b="0" i="0" strike="noStrike" kern="1200" baseline="0">
                    <a:solidFill>
                      <a:schemeClr val="bg1"/>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 Cumplimiento'!$B$14:$B$21</c:f>
              <c:strCache>
                <c:ptCount val="8"/>
                <c:pt idx="0">
                  <c:v>Requisitos Generales</c:v>
                </c:pt>
                <c:pt idx="1">
                  <c:v>Biológicos</c:v>
                </c:pt>
                <c:pt idx="2">
                  <c:v>De Seguridad</c:v>
                </c:pt>
                <c:pt idx="3">
                  <c:v>Biomecánicos</c:v>
                </c:pt>
                <c:pt idx="4">
                  <c:v>Físicos</c:v>
                </c:pt>
                <c:pt idx="5">
                  <c:v> Psicosocial</c:v>
                </c:pt>
                <c:pt idx="6">
                  <c:v>Químico</c:v>
                </c:pt>
                <c:pt idx="7">
                  <c:v>TOTAL</c:v>
                </c:pt>
              </c:strCache>
            </c:strRef>
          </c:cat>
          <c:val>
            <c:numRef>
              <c:f>'% Cumplimiento'!$E$4:$E$11</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E420-9146-9017-AF1201770FB3}"/>
            </c:ext>
          </c:extLst>
        </c:ser>
        <c:ser>
          <c:idx val="1"/>
          <c:order val="1"/>
          <c:tx>
            <c:strRef>
              <c:f>'% Cumplimiento'!$B$13</c:f>
              <c:strCache>
                <c:ptCount val="1"/>
                <c:pt idx="0">
                  <c:v>EVALUACIÓN 2026</c:v>
                </c:pt>
              </c:strCache>
            </c:strRef>
          </c:tx>
          <c:spPr>
            <a:solidFill>
              <a:schemeClr val="accent3">
                <a:lumMod val="75000"/>
              </a:schemeClr>
            </a:solidFill>
            <a:ln>
              <a:noFill/>
              <a:prstDash val="solid"/>
            </a:ln>
            <a:sp3d/>
          </c:spPr>
          <c:invertIfNegative val="0"/>
          <c:dLbls>
            <c:spPr>
              <a:noFill/>
              <a:ln>
                <a:noFill/>
                <a:prstDash val="solid"/>
              </a:ln>
            </c:spPr>
            <c:txPr>
              <a:bodyPr rot="0" spcFirstLastPara="1" vertOverflow="ellipsis" vert="horz" wrap="square" lIns="38100" tIns="19050" rIns="38100" bIns="19050" anchor="ctr" anchorCtr="1">
                <a:spAutoFit/>
              </a:bodyPr>
              <a:lstStyle/>
              <a:p>
                <a:pPr>
                  <a:defRPr sz="1000" b="0" i="0" strike="noStrike" kern="1200" baseline="0">
                    <a:solidFill>
                      <a:schemeClr val="bg1"/>
                    </a:solidFill>
                    <a:latin typeface="+mn-lt"/>
                    <a:ea typeface="+mn-ea"/>
                    <a:cs typeface="+mn-cs"/>
                  </a:defRPr>
                </a:pPr>
                <a:endParaRPr lang="en-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 Cumplimiento'!$B$14:$B$21</c:f>
              <c:strCache>
                <c:ptCount val="8"/>
                <c:pt idx="0">
                  <c:v>Requisitos Generales</c:v>
                </c:pt>
                <c:pt idx="1">
                  <c:v>Biológicos</c:v>
                </c:pt>
                <c:pt idx="2">
                  <c:v>De Seguridad</c:v>
                </c:pt>
                <c:pt idx="3">
                  <c:v>Biomecánicos</c:v>
                </c:pt>
                <c:pt idx="4">
                  <c:v>Físicos</c:v>
                </c:pt>
                <c:pt idx="5">
                  <c:v> Psicosocial</c:v>
                </c:pt>
                <c:pt idx="6">
                  <c:v>Químico</c:v>
                </c:pt>
                <c:pt idx="7">
                  <c:v>TOTAL</c:v>
                </c:pt>
              </c:strCache>
            </c:strRef>
          </c:cat>
          <c:val>
            <c:numRef>
              <c:f>'% Cumplimiento'!$E$14:$E$21</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E420-9146-9017-AF1201770FB3}"/>
            </c:ext>
          </c:extLst>
        </c:ser>
        <c:dLbls>
          <c:showLegendKey val="0"/>
          <c:showVal val="0"/>
          <c:showCatName val="0"/>
          <c:showSerName val="0"/>
          <c:showPercent val="0"/>
          <c:showBubbleSize val="0"/>
        </c:dLbls>
        <c:gapWidth val="150"/>
        <c:axId val="1940638752"/>
        <c:axId val="1940642016"/>
      </c:barChart>
      <c:catAx>
        <c:axId val="1940638752"/>
        <c:scaling>
          <c:orientation val="minMax"/>
        </c:scaling>
        <c:delete val="0"/>
        <c:axPos val="b"/>
        <c:numFmt formatCode="General" sourceLinked="0"/>
        <c:majorTickMark val="out"/>
        <c:minorTickMark val="none"/>
        <c:tickLblPos val="nextTo"/>
        <c:spPr>
          <a:noFill/>
          <a:ln w="9525" cap="flat" cmpd="sng" algn="ctr">
            <a:solidFill>
              <a:schemeClr val="dk1">
                <a:tint val="75000"/>
                <a:shade val="95000"/>
                <a:satMod val="105000"/>
              </a:schemeClr>
            </a:solidFill>
            <a:prstDash val="solid"/>
            <a:round/>
          </a:ln>
        </c:spPr>
        <c:txPr>
          <a:bodyPr rot="-60000000" spcFirstLastPara="1" vertOverflow="ellipsis" vert="horz" wrap="square" anchor="ctr" anchorCtr="1"/>
          <a:lstStyle/>
          <a:p>
            <a:pPr>
              <a:defRPr sz="800" b="0" i="0" strike="noStrike" kern="1200" baseline="0">
                <a:solidFill>
                  <a:sysClr val="windowText" lastClr="000000"/>
                </a:solidFill>
                <a:latin typeface="+mn-lt"/>
                <a:ea typeface="+mn-ea"/>
                <a:cs typeface="+mn-cs"/>
              </a:defRPr>
            </a:pPr>
            <a:endParaRPr lang="en-CO"/>
          </a:p>
        </c:txPr>
        <c:crossAx val="1940642016"/>
        <c:crosses val="autoZero"/>
        <c:auto val="1"/>
        <c:lblAlgn val="ctr"/>
        <c:lblOffset val="100"/>
        <c:noMultiLvlLbl val="0"/>
      </c:catAx>
      <c:valAx>
        <c:axId val="1940642016"/>
        <c:scaling>
          <c:orientation val="minMax"/>
        </c:scaling>
        <c:delete val="0"/>
        <c:axPos val="l"/>
        <c:majorGridlines>
          <c:spPr>
            <a:ln w="9525" cap="flat" cmpd="sng" algn="ctr">
              <a:solidFill>
                <a:schemeClr val="dk1">
                  <a:tint val="75000"/>
                  <a:shade val="95000"/>
                  <a:satMod val="105000"/>
                </a:schemeClr>
              </a:solidFill>
              <a:prstDash val="solid"/>
              <a:round/>
            </a:ln>
          </c:spPr>
        </c:majorGridlines>
        <c:numFmt formatCode="0%" sourceLinked="1"/>
        <c:majorTickMark val="out"/>
        <c:minorTickMark val="none"/>
        <c:tickLblPos val="nextTo"/>
        <c:spPr>
          <a:noFill/>
          <a:ln w="9525" cap="flat" cmpd="sng" algn="ctr">
            <a:solidFill>
              <a:schemeClr val="dk1">
                <a:tint val="75000"/>
                <a:shade val="95000"/>
                <a:satMod val="105000"/>
              </a:schemeClr>
            </a:solidFill>
            <a:prstDash val="solid"/>
            <a:round/>
          </a:ln>
        </c:spPr>
        <c:txPr>
          <a:bodyPr rot="-60000000" spcFirstLastPara="1" vertOverflow="ellipsis" vert="horz" wrap="square" anchor="ctr" anchorCtr="1"/>
          <a:lstStyle/>
          <a:p>
            <a:pPr>
              <a:defRPr sz="800" b="0" i="0" strike="noStrike" kern="1200" baseline="0">
                <a:solidFill>
                  <a:sysClr val="windowText" lastClr="000000"/>
                </a:solidFill>
                <a:latin typeface="+mn-lt"/>
                <a:ea typeface="+mn-ea"/>
                <a:cs typeface="+mn-cs"/>
              </a:defRPr>
            </a:pPr>
            <a:endParaRPr lang="en-CO"/>
          </a:p>
        </c:txPr>
        <c:crossAx val="1940638752"/>
        <c:crosses val="autoZero"/>
        <c:crossBetween val="between"/>
      </c:valAx>
    </c:plotArea>
    <c:legend>
      <c:legendPos val="r"/>
      <c:overlay val="0"/>
      <c:spPr>
        <a:noFill/>
        <a:ln>
          <a:noFill/>
          <a:prstDash val="solid"/>
        </a:ln>
      </c:spPr>
      <c:txPr>
        <a:bodyPr rot="0" spcFirstLastPara="1" vertOverflow="ellipsis" vert="horz" wrap="square" anchor="ctr" anchorCtr="1"/>
        <a:lstStyle/>
        <a:p>
          <a:pPr>
            <a:defRPr sz="800" b="0" i="0" strike="noStrike" kern="1200" baseline="0">
              <a:solidFill>
                <a:sysClr val="windowText" lastClr="000000"/>
              </a:solidFill>
              <a:latin typeface="+mn-lt"/>
              <a:ea typeface="+mn-ea"/>
              <a:cs typeface="+mn-cs"/>
            </a:defRPr>
          </a:pPr>
          <a:endParaRPr lang="en-CO"/>
        </a:p>
      </c:txPr>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1" i="0" strike="noStrike" kern="1200" baseline="0">
                <a:solidFill>
                  <a:sysClr val="windowText" lastClr="000000"/>
                </a:solidFill>
                <a:latin typeface="+mn-lt"/>
                <a:ea typeface="+mn-ea"/>
                <a:cs typeface="+mn-cs"/>
              </a:defRPr>
            </a:pPr>
            <a:r>
              <a:rPr lang="es-CO" sz="1050"/>
              <a:t>% DE CUMPLIMIENTO LEGAL</a:t>
            </a:r>
          </a:p>
        </c:rich>
      </c:tx>
      <c:overlay val="0"/>
      <c:spPr>
        <a:noFill/>
        <a:ln>
          <a:noFill/>
          <a:prstDash val="solid"/>
        </a:ln>
      </c:spPr>
    </c:title>
    <c:autoTitleDeleted val="0"/>
    <c:plotArea>
      <c:layout/>
      <c:barChart>
        <c:barDir val="col"/>
        <c:grouping val="clustered"/>
        <c:varyColors val="0"/>
        <c:ser>
          <c:idx val="0"/>
          <c:order val="0"/>
          <c:tx>
            <c:strRef>
              <c:f>'% Cumplimiento'!$B$3</c:f>
              <c:strCache>
                <c:ptCount val="1"/>
                <c:pt idx="0">
                  <c:v>EVALUACIÓN 2025</c:v>
                </c:pt>
              </c:strCache>
            </c:strRef>
          </c:tx>
          <c:spPr>
            <a:solidFill>
              <a:schemeClr val="accent6">
                <a:lumMod val="60000"/>
                <a:lumOff val="40000"/>
              </a:schemeClr>
            </a:solidFill>
            <a:ln>
              <a:noFill/>
              <a:prstDash val="solid"/>
            </a:ln>
            <a:sp3d/>
          </c:spPr>
          <c:invertIfNegative val="0"/>
          <c:dLbls>
            <c:spPr>
              <a:noFill/>
              <a:ln>
                <a:noFill/>
                <a:prstDash val="solid"/>
              </a:ln>
            </c:spPr>
            <c:txPr>
              <a:bodyPr rot="0" spcFirstLastPara="1" vertOverflow="ellipsis" vert="horz" wrap="square" lIns="38100" tIns="19050" rIns="38100" bIns="19050" anchor="ctr" anchorCtr="1">
                <a:spAutoFit/>
              </a:bodyPr>
              <a:lstStyle/>
              <a:p>
                <a:pPr>
                  <a:defRPr sz="1000" b="0" i="0" strike="noStrike" kern="1200" baseline="0">
                    <a:solidFill>
                      <a:schemeClr val="bg1"/>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 Cumplimiento'!$B$14:$B$21</c:f>
              <c:strCache>
                <c:ptCount val="8"/>
                <c:pt idx="0">
                  <c:v>Requisitos Generales</c:v>
                </c:pt>
                <c:pt idx="1">
                  <c:v>Biológicos</c:v>
                </c:pt>
                <c:pt idx="2">
                  <c:v>De Seguridad</c:v>
                </c:pt>
                <c:pt idx="3">
                  <c:v>Biomecánicos</c:v>
                </c:pt>
                <c:pt idx="4">
                  <c:v>Físicos</c:v>
                </c:pt>
                <c:pt idx="5">
                  <c:v> Psicosocial</c:v>
                </c:pt>
                <c:pt idx="6">
                  <c:v>Químico</c:v>
                </c:pt>
                <c:pt idx="7">
                  <c:v>TOTAL</c:v>
                </c:pt>
              </c:strCache>
            </c:strRef>
          </c:cat>
          <c:val>
            <c:numRef>
              <c:f>'% Cumplimiento'!$E$4:$E$11</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78E1-5248-8E57-9A1675426E7C}"/>
            </c:ext>
          </c:extLst>
        </c:ser>
        <c:ser>
          <c:idx val="1"/>
          <c:order val="1"/>
          <c:tx>
            <c:strRef>
              <c:f>'% Cumplimiento'!$B$13</c:f>
              <c:strCache>
                <c:ptCount val="1"/>
                <c:pt idx="0">
                  <c:v>EVALUACIÓN 2026</c:v>
                </c:pt>
              </c:strCache>
            </c:strRef>
          </c:tx>
          <c:spPr>
            <a:solidFill>
              <a:schemeClr val="accent3">
                <a:lumMod val="75000"/>
              </a:schemeClr>
            </a:solidFill>
            <a:ln>
              <a:noFill/>
              <a:prstDash val="solid"/>
            </a:ln>
            <a:sp3d/>
          </c:spPr>
          <c:invertIfNegative val="0"/>
          <c:dLbls>
            <c:spPr>
              <a:noFill/>
              <a:ln>
                <a:noFill/>
                <a:prstDash val="solid"/>
              </a:ln>
            </c:spPr>
            <c:txPr>
              <a:bodyPr rot="0" spcFirstLastPara="1" vertOverflow="ellipsis" vert="horz" wrap="square" lIns="38100" tIns="19050" rIns="38100" bIns="19050" anchor="ctr" anchorCtr="1">
                <a:spAutoFit/>
              </a:bodyPr>
              <a:lstStyle/>
              <a:p>
                <a:pPr>
                  <a:defRPr sz="1000" b="0" i="0" strike="noStrike" kern="1200" baseline="0">
                    <a:solidFill>
                      <a:schemeClr val="bg1"/>
                    </a:solidFill>
                    <a:latin typeface="+mn-lt"/>
                    <a:ea typeface="+mn-ea"/>
                    <a:cs typeface="+mn-cs"/>
                  </a:defRPr>
                </a:pPr>
                <a:endParaRPr lang="en-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 Cumplimiento'!$B$14:$B$21</c:f>
              <c:strCache>
                <c:ptCount val="8"/>
                <c:pt idx="0">
                  <c:v>Requisitos Generales</c:v>
                </c:pt>
                <c:pt idx="1">
                  <c:v>Biológicos</c:v>
                </c:pt>
                <c:pt idx="2">
                  <c:v>De Seguridad</c:v>
                </c:pt>
                <c:pt idx="3">
                  <c:v>Biomecánicos</c:v>
                </c:pt>
                <c:pt idx="4">
                  <c:v>Físicos</c:v>
                </c:pt>
                <c:pt idx="5">
                  <c:v> Psicosocial</c:v>
                </c:pt>
                <c:pt idx="6">
                  <c:v>Químico</c:v>
                </c:pt>
                <c:pt idx="7">
                  <c:v>TOTAL</c:v>
                </c:pt>
              </c:strCache>
            </c:strRef>
          </c:cat>
          <c:val>
            <c:numRef>
              <c:f>'% Cumplimiento'!$E$14:$E$21</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78E1-5248-8E57-9A1675426E7C}"/>
            </c:ext>
          </c:extLst>
        </c:ser>
        <c:dLbls>
          <c:showLegendKey val="0"/>
          <c:showVal val="0"/>
          <c:showCatName val="0"/>
          <c:showSerName val="0"/>
          <c:showPercent val="0"/>
          <c:showBubbleSize val="0"/>
        </c:dLbls>
        <c:gapWidth val="150"/>
        <c:axId val="1940638752"/>
        <c:axId val="1940642016"/>
      </c:barChart>
      <c:catAx>
        <c:axId val="1940638752"/>
        <c:scaling>
          <c:orientation val="minMax"/>
        </c:scaling>
        <c:delete val="0"/>
        <c:axPos val="b"/>
        <c:numFmt formatCode="General" sourceLinked="0"/>
        <c:majorTickMark val="out"/>
        <c:minorTickMark val="none"/>
        <c:tickLblPos val="nextTo"/>
        <c:spPr>
          <a:noFill/>
          <a:ln w="9525" cap="flat" cmpd="sng" algn="ctr">
            <a:solidFill>
              <a:schemeClr val="dk1">
                <a:tint val="75000"/>
                <a:shade val="95000"/>
                <a:satMod val="105000"/>
              </a:schemeClr>
            </a:solidFill>
            <a:prstDash val="solid"/>
            <a:round/>
          </a:ln>
        </c:spPr>
        <c:txPr>
          <a:bodyPr rot="-60000000" spcFirstLastPara="1" vertOverflow="ellipsis" vert="horz" wrap="square" anchor="ctr" anchorCtr="1"/>
          <a:lstStyle/>
          <a:p>
            <a:pPr>
              <a:defRPr sz="800" b="0" i="0" strike="noStrike" kern="1200" baseline="0">
                <a:solidFill>
                  <a:sysClr val="windowText" lastClr="000000"/>
                </a:solidFill>
                <a:latin typeface="+mn-lt"/>
                <a:ea typeface="+mn-ea"/>
                <a:cs typeface="+mn-cs"/>
              </a:defRPr>
            </a:pPr>
            <a:endParaRPr lang="en-CO"/>
          </a:p>
        </c:txPr>
        <c:crossAx val="1940642016"/>
        <c:crosses val="autoZero"/>
        <c:auto val="1"/>
        <c:lblAlgn val="ctr"/>
        <c:lblOffset val="100"/>
        <c:noMultiLvlLbl val="0"/>
      </c:catAx>
      <c:valAx>
        <c:axId val="1940642016"/>
        <c:scaling>
          <c:orientation val="minMax"/>
        </c:scaling>
        <c:delete val="0"/>
        <c:axPos val="l"/>
        <c:majorGridlines>
          <c:spPr>
            <a:ln w="9525" cap="flat" cmpd="sng" algn="ctr">
              <a:solidFill>
                <a:schemeClr val="dk1">
                  <a:tint val="75000"/>
                  <a:shade val="95000"/>
                  <a:satMod val="105000"/>
                </a:schemeClr>
              </a:solidFill>
              <a:prstDash val="solid"/>
              <a:round/>
            </a:ln>
          </c:spPr>
        </c:majorGridlines>
        <c:numFmt formatCode="0%" sourceLinked="1"/>
        <c:majorTickMark val="out"/>
        <c:minorTickMark val="none"/>
        <c:tickLblPos val="nextTo"/>
        <c:spPr>
          <a:noFill/>
          <a:ln w="9525" cap="flat" cmpd="sng" algn="ctr">
            <a:solidFill>
              <a:schemeClr val="dk1">
                <a:tint val="75000"/>
                <a:shade val="95000"/>
                <a:satMod val="105000"/>
              </a:schemeClr>
            </a:solidFill>
            <a:prstDash val="solid"/>
            <a:round/>
          </a:ln>
        </c:spPr>
        <c:txPr>
          <a:bodyPr rot="-60000000" spcFirstLastPara="1" vertOverflow="ellipsis" vert="horz" wrap="square" anchor="ctr" anchorCtr="1"/>
          <a:lstStyle/>
          <a:p>
            <a:pPr>
              <a:defRPr sz="800" b="0" i="0" strike="noStrike" kern="1200" baseline="0">
                <a:solidFill>
                  <a:sysClr val="windowText" lastClr="000000"/>
                </a:solidFill>
                <a:latin typeface="+mn-lt"/>
                <a:ea typeface="+mn-ea"/>
                <a:cs typeface="+mn-cs"/>
              </a:defRPr>
            </a:pPr>
            <a:endParaRPr lang="en-CO"/>
          </a:p>
        </c:txPr>
        <c:crossAx val="1940638752"/>
        <c:crosses val="autoZero"/>
        <c:crossBetween val="between"/>
      </c:valAx>
    </c:plotArea>
    <c:legend>
      <c:legendPos val="r"/>
      <c:overlay val="0"/>
      <c:spPr>
        <a:noFill/>
        <a:ln>
          <a:noFill/>
          <a:prstDash val="solid"/>
        </a:ln>
      </c:spPr>
      <c:txPr>
        <a:bodyPr rot="0" spcFirstLastPara="1" vertOverflow="ellipsis" vert="horz" wrap="square" anchor="ctr" anchorCtr="1"/>
        <a:lstStyle/>
        <a:p>
          <a:pPr>
            <a:defRPr sz="800" b="0" i="0" strike="noStrike" kern="1200" baseline="0">
              <a:solidFill>
                <a:sysClr val="windowText" lastClr="000000"/>
              </a:solidFill>
              <a:latin typeface="+mn-lt"/>
              <a:ea typeface="+mn-ea"/>
              <a:cs typeface="+mn-cs"/>
            </a:defRPr>
          </a:pPr>
          <a:endParaRPr lang="en-CO"/>
        </a:p>
      </c:txPr>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16</xdr:col>
      <xdr:colOff>15874</xdr:colOff>
      <xdr:row>0</xdr:row>
      <xdr:rowOff>39685</xdr:rowOff>
    </xdr:from>
    <xdr:to>
      <xdr:col>25</xdr:col>
      <xdr:colOff>581201</xdr:colOff>
      <xdr:row>9</xdr:row>
      <xdr:rowOff>103187</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162277</xdr:colOff>
      <xdr:row>1</xdr:row>
      <xdr:rowOff>121709</xdr:rowOff>
    </xdr:from>
    <xdr:to>
      <xdr:col>16</xdr:col>
      <xdr:colOff>338666</xdr:colOff>
      <xdr:row>14</xdr:row>
      <xdr:rowOff>159807</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1" displayName="Tabla1" ref="B3:E11" totalsRowShown="0" headerRowDxfId="17" dataDxfId="15" headerRowBorderDxfId="16" tableBorderDxfId="14" totalsRowBorderDxfId="13" headerRowCellStyle="Normal 2 2">
  <autoFilter ref="B3:E11" xr:uid="{00000000-0009-0000-0100-000001000000}"/>
  <tableColumns count="4">
    <tableColumn id="1" xr3:uid="{00000000-0010-0000-0000-000001000000}" name="EVALUACIÓN 2025" dataDxfId="12" dataCellStyle="Normal 2 2"/>
    <tableColumn id="2" xr3:uid="{00000000-0010-0000-0000-000002000000}" name="Valor Máximo" dataDxfId="11" dataCellStyle="Normal 2 2"/>
    <tableColumn id="3" xr3:uid="{00000000-0010-0000-0000-000003000000}" name="Valor Obtenido" dataDxfId="10" dataCellStyle="Normal 2 2">
      <calculatedColumnFormula>#REF!</calculatedColumnFormula>
    </tableColumn>
    <tableColumn id="4" xr3:uid="{00000000-0010-0000-0000-000004000000}" name="% _x000a_Cumplimiento" dataDxfId="9" dataCellStyle="Normal 2 2">
      <calculatedColumnFormula>D4/C4</calculatedColumnFormula>
    </tableColumn>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a13" displayName="Tabla13" ref="B13:E21" totalsRowShown="0" headerRowDxfId="8" dataDxfId="6" headerRowBorderDxfId="7" tableBorderDxfId="5" totalsRowBorderDxfId="4" headerRowCellStyle="Normal 2 2">
  <autoFilter ref="B13:E21" xr:uid="{00000000-0009-0000-0100-000002000000}"/>
  <tableColumns count="4">
    <tableColumn id="1" xr3:uid="{00000000-0010-0000-0100-000001000000}" name="EVALUACIÓN 2026" dataDxfId="3" dataCellStyle="Normal 2 2"/>
    <tableColumn id="2" xr3:uid="{00000000-0010-0000-0100-000002000000}" name="Valor Máximo" dataDxfId="2" dataCellStyle="Normal 2 2"/>
    <tableColumn id="3" xr3:uid="{00000000-0010-0000-0100-000003000000}" name="Valor Obtenido" dataDxfId="1" dataCellStyle="Normal 2 2">
      <calculatedColumnFormula>#REF!</calculatedColumnFormula>
    </tableColumn>
    <tableColumn id="4" xr3:uid="{00000000-0010-0000-0100-000004000000}" name="% Cumplimiento" dataDxfId="0" dataCellStyle="Normal 2 2">
      <calculatedColumnFormula>D14/C14</calculatedColumnFormula>
    </tableColumn>
  </tableColumns>
  <tableStyleInfo name="TableStyleLight1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R11"/>
  <sheetViews>
    <sheetView showGridLines="0" zoomScale="90" zoomScaleNormal="90" workbookViewId="0">
      <selection activeCell="I34" sqref="I34"/>
    </sheetView>
  </sheetViews>
  <sheetFormatPr baseColWidth="10" defaultColWidth="9" defaultRowHeight="15" x14ac:dyDescent="0.25"/>
  <cols>
    <col min="1" max="1" width="13.42578125" customWidth="1"/>
    <col min="2" max="2" width="1" customWidth="1"/>
    <col min="3" max="3" width="13.42578125" customWidth="1"/>
    <col min="4" max="4" width="1" customWidth="1"/>
    <col min="5" max="5" width="13.42578125" customWidth="1"/>
    <col min="6" max="6" width="1" customWidth="1"/>
    <col min="7" max="7" width="13.42578125" customWidth="1"/>
    <col min="8" max="8" width="1" customWidth="1"/>
    <col min="9" max="9" width="13.42578125" customWidth="1"/>
    <col min="10" max="10" width="1" customWidth="1"/>
    <col min="11" max="11" width="13.42578125" customWidth="1"/>
    <col min="12" max="12" width="1" customWidth="1"/>
    <col min="13" max="13" width="13.42578125" customWidth="1"/>
    <col min="14" max="14" width="1" customWidth="1"/>
    <col min="15" max="15" width="13.42578125" customWidth="1"/>
    <col min="16" max="16" width="1.42578125" customWidth="1"/>
    <col min="251" max="251" width="9" customWidth="1"/>
    <col min="255" max="255" width="3" customWidth="1"/>
    <col min="259" max="259" width="3" customWidth="1"/>
    <col min="263" max="263" width="3" customWidth="1"/>
    <col min="267" max="267" width="9" customWidth="1"/>
    <col min="507" max="507" width="9" customWidth="1"/>
    <col min="511" max="511" width="3" customWidth="1"/>
    <col min="515" max="515" width="3" customWidth="1"/>
    <col min="519" max="519" width="3" customWidth="1"/>
    <col min="523" max="523" width="9" customWidth="1"/>
    <col min="763" max="763" width="9" customWidth="1"/>
    <col min="767" max="767" width="3" customWidth="1"/>
    <col min="771" max="771" width="3" customWidth="1"/>
    <col min="775" max="775" width="3" customWidth="1"/>
    <col min="779" max="779" width="9" customWidth="1"/>
    <col min="1019" max="1019" width="9" customWidth="1"/>
    <col min="1023" max="1023" width="3" customWidth="1"/>
    <col min="1027" max="1027" width="3" customWidth="1"/>
    <col min="1031" max="1031" width="3" customWidth="1"/>
    <col min="1035" max="1035" width="9" customWidth="1"/>
    <col min="1275" max="1275" width="9" customWidth="1"/>
    <col min="1279" max="1279" width="3" customWidth="1"/>
    <col min="1283" max="1283" width="3" customWidth="1"/>
    <col min="1287" max="1287" width="3" customWidth="1"/>
    <col min="1291" max="1291" width="9" customWidth="1"/>
    <col min="1531" max="1531" width="9" customWidth="1"/>
    <col min="1535" max="1535" width="3" customWidth="1"/>
    <col min="1539" max="1539" width="3" customWidth="1"/>
    <col min="1543" max="1543" width="3" customWidth="1"/>
    <col min="1547" max="1547" width="9" customWidth="1"/>
    <col min="1787" max="1787" width="9" customWidth="1"/>
    <col min="1791" max="1791" width="3" customWidth="1"/>
    <col min="1795" max="1795" width="3" customWidth="1"/>
    <col min="1799" max="1799" width="3" customWidth="1"/>
    <col min="1803" max="1803" width="9" customWidth="1"/>
    <col min="2043" max="2043" width="9" customWidth="1"/>
    <col min="2047" max="2047" width="3" customWidth="1"/>
    <col min="2051" max="2051" width="3" customWidth="1"/>
    <col min="2055" max="2055" width="3" customWidth="1"/>
    <col min="2059" max="2059" width="9" customWidth="1"/>
    <col min="2299" max="2299" width="9" customWidth="1"/>
    <col min="2303" max="2303" width="3" customWidth="1"/>
    <col min="2307" max="2307" width="3" customWidth="1"/>
    <col min="2311" max="2311" width="3" customWidth="1"/>
    <col min="2315" max="2315" width="9" customWidth="1"/>
    <col min="2555" max="2555" width="9" customWidth="1"/>
    <col min="2559" max="2559" width="3" customWidth="1"/>
    <col min="2563" max="2563" width="3" customWidth="1"/>
    <col min="2567" max="2567" width="3" customWidth="1"/>
    <col min="2571" max="2571" width="9" customWidth="1"/>
    <col min="2811" max="2811" width="9" customWidth="1"/>
    <col min="2815" max="2815" width="3" customWidth="1"/>
    <col min="2819" max="2819" width="3" customWidth="1"/>
    <col min="2823" max="2823" width="3" customWidth="1"/>
    <col min="2827" max="2827" width="9" customWidth="1"/>
    <col min="3067" max="3067" width="9" customWidth="1"/>
    <col min="3071" max="3071" width="3" customWidth="1"/>
    <col min="3075" max="3075" width="3" customWidth="1"/>
    <col min="3079" max="3079" width="3" customWidth="1"/>
    <col min="3083" max="3083" width="9" customWidth="1"/>
    <col min="3323" max="3323" width="9" customWidth="1"/>
    <col min="3327" max="3327" width="3" customWidth="1"/>
    <col min="3331" max="3331" width="3" customWidth="1"/>
    <col min="3335" max="3335" width="3" customWidth="1"/>
    <col min="3339" max="3339" width="9" customWidth="1"/>
    <col min="3579" max="3579" width="9" customWidth="1"/>
    <col min="3583" max="3583" width="3" customWidth="1"/>
    <col min="3587" max="3587" width="3" customWidth="1"/>
    <col min="3591" max="3591" width="3" customWidth="1"/>
    <col min="3595" max="3595" width="9" customWidth="1"/>
    <col min="3835" max="3835" width="9" customWidth="1"/>
    <col min="3839" max="3839" width="3" customWidth="1"/>
    <col min="3843" max="3843" width="3" customWidth="1"/>
    <col min="3847" max="3847" width="3" customWidth="1"/>
    <col min="3851" max="3851" width="9" customWidth="1"/>
    <col min="4091" max="4091" width="9" customWidth="1"/>
    <col min="4095" max="4095" width="3" customWidth="1"/>
    <col min="4099" max="4099" width="3" customWidth="1"/>
    <col min="4103" max="4103" width="3" customWidth="1"/>
    <col min="4107" max="4107" width="9" customWidth="1"/>
    <col min="4347" max="4347" width="9" customWidth="1"/>
    <col min="4351" max="4351" width="3" customWidth="1"/>
    <col min="4355" max="4355" width="3" customWidth="1"/>
    <col min="4359" max="4359" width="3" customWidth="1"/>
    <col min="4363" max="4363" width="9" customWidth="1"/>
    <col min="4603" max="4603" width="9" customWidth="1"/>
    <col min="4607" max="4607" width="3" customWidth="1"/>
    <col min="4611" max="4611" width="3" customWidth="1"/>
    <col min="4615" max="4615" width="3" customWidth="1"/>
    <col min="4619" max="4619" width="9" customWidth="1"/>
    <col min="4859" max="4859" width="9" customWidth="1"/>
    <col min="4863" max="4863" width="3" customWidth="1"/>
    <col min="4867" max="4867" width="3" customWidth="1"/>
    <col min="4871" max="4871" width="3" customWidth="1"/>
    <col min="4875" max="4875" width="9" customWidth="1"/>
    <col min="5115" max="5115" width="9" customWidth="1"/>
    <col min="5119" max="5119" width="3" customWidth="1"/>
    <col min="5123" max="5123" width="3" customWidth="1"/>
    <col min="5127" max="5127" width="3" customWidth="1"/>
    <col min="5131" max="5131" width="9" customWidth="1"/>
    <col min="5371" max="5371" width="9" customWidth="1"/>
    <col min="5375" max="5375" width="3" customWidth="1"/>
    <col min="5379" max="5379" width="3" customWidth="1"/>
    <col min="5383" max="5383" width="3" customWidth="1"/>
    <col min="5387" max="5387" width="9" customWidth="1"/>
    <col min="5627" max="5627" width="9" customWidth="1"/>
    <col min="5631" max="5631" width="3" customWidth="1"/>
    <col min="5635" max="5635" width="3" customWidth="1"/>
    <col min="5639" max="5639" width="3" customWidth="1"/>
    <col min="5643" max="5643" width="9" customWidth="1"/>
    <col min="5883" max="5883" width="9" customWidth="1"/>
    <col min="5887" max="5887" width="3" customWidth="1"/>
    <col min="5891" max="5891" width="3" customWidth="1"/>
    <col min="5895" max="5895" width="3" customWidth="1"/>
    <col min="5899" max="5899" width="9" customWidth="1"/>
    <col min="6139" max="6139" width="9" customWidth="1"/>
    <col min="6143" max="6143" width="3" customWidth="1"/>
    <col min="6147" max="6147" width="3" customWidth="1"/>
    <col min="6151" max="6151" width="3" customWidth="1"/>
    <col min="6155" max="6155" width="9" customWidth="1"/>
    <col min="6395" max="6395" width="9" customWidth="1"/>
    <col min="6399" max="6399" width="3" customWidth="1"/>
    <col min="6403" max="6403" width="3" customWidth="1"/>
    <col min="6407" max="6407" width="3" customWidth="1"/>
    <col min="6411" max="6411" width="9" customWidth="1"/>
    <col min="6651" max="6651" width="9" customWidth="1"/>
    <col min="6655" max="6655" width="3" customWidth="1"/>
    <col min="6659" max="6659" width="3" customWidth="1"/>
    <col min="6663" max="6663" width="3" customWidth="1"/>
    <col min="6667" max="6667" width="9" customWidth="1"/>
    <col min="6907" max="6907" width="9" customWidth="1"/>
    <col min="6911" max="6911" width="3" customWidth="1"/>
    <col min="6915" max="6915" width="3" customWidth="1"/>
    <col min="6919" max="6919" width="3" customWidth="1"/>
    <col min="6923" max="6923" width="9" customWidth="1"/>
    <col min="7163" max="7163" width="9" customWidth="1"/>
    <col min="7167" max="7167" width="3" customWidth="1"/>
    <col min="7171" max="7171" width="3" customWidth="1"/>
    <col min="7175" max="7175" width="3" customWidth="1"/>
    <col min="7179" max="7179" width="9" customWidth="1"/>
    <col min="7419" max="7419" width="9" customWidth="1"/>
    <col min="7423" max="7423" width="3" customWidth="1"/>
    <col min="7427" max="7427" width="3" customWidth="1"/>
    <col min="7431" max="7431" width="3" customWidth="1"/>
    <col min="7435" max="7435" width="9" customWidth="1"/>
    <col min="7675" max="7675" width="9" customWidth="1"/>
    <col min="7679" max="7679" width="3" customWidth="1"/>
    <col min="7683" max="7683" width="3" customWidth="1"/>
    <col min="7687" max="7687" width="3" customWidth="1"/>
    <col min="7691" max="7691" width="9" customWidth="1"/>
    <col min="7931" max="7931" width="9" customWidth="1"/>
    <col min="7935" max="7935" width="3" customWidth="1"/>
    <col min="7939" max="7939" width="3" customWidth="1"/>
    <col min="7943" max="7943" width="3" customWidth="1"/>
    <col min="7947" max="7947" width="9" customWidth="1"/>
    <col min="8187" max="8187" width="9" customWidth="1"/>
    <col min="8191" max="8191" width="3" customWidth="1"/>
    <col min="8195" max="8195" width="3" customWidth="1"/>
    <col min="8199" max="8199" width="3" customWidth="1"/>
    <col min="8203" max="8203" width="9" customWidth="1"/>
    <col min="8443" max="8443" width="9" customWidth="1"/>
    <col min="8447" max="8447" width="3" customWidth="1"/>
    <col min="8451" max="8451" width="3" customWidth="1"/>
    <col min="8455" max="8455" width="3" customWidth="1"/>
    <col min="8459" max="8459" width="9" customWidth="1"/>
    <col min="8699" max="8699" width="9" customWidth="1"/>
    <col min="8703" max="8703" width="3" customWidth="1"/>
    <col min="8707" max="8707" width="3" customWidth="1"/>
    <col min="8711" max="8711" width="3" customWidth="1"/>
    <col min="8715" max="8715" width="9" customWidth="1"/>
    <col min="8955" max="8955" width="9" customWidth="1"/>
    <col min="8959" max="8959" width="3" customWidth="1"/>
    <col min="8963" max="8963" width="3" customWidth="1"/>
    <col min="8967" max="8967" width="3" customWidth="1"/>
    <col min="8971" max="8971" width="9" customWidth="1"/>
    <col min="9211" max="9211" width="9" customWidth="1"/>
    <col min="9215" max="9215" width="3" customWidth="1"/>
    <col min="9219" max="9219" width="3" customWidth="1"/>
    <col min="9223" max="9223" width="3" customWidth="1"/>
    <col min="9227" max="9227" width="9" customWidth="1"/>
    <col min="9467" max="9467" width="9" customWidth="1"/>
    <col min="9471" max="9471" width="3" customWidth="1"/>
    <col min="9475" max="9475" width="3" customWidth="1"/>
    <col min="9479" max="9479" width="3" customWidth="1"/>
    <col min="9483" max="9483" width="9" customWidth="1"/>
    <col min="9723" max="9723" width="9" customWidth="1"/>
    <col min="9727" max="9727" width="3" customWidth="1"/>
    <col min="9731" max="9731" width="3" customWidth="1"/>
    <col min="9735" max="9735" width="3" customWidth="1"/>
    <col min="9739" max="9739" width="9" customWidth="1"/>
    <col min="9979" max="9979" width="9" customWidth="1"/>
    <col min="9983" max="9983" width="3" customWidth="1"/>
    <col min="9987" max="9987" width="3" customWidth="1"/>
    <col min="9991" max="9991" width="3" customWidth="1"/>
    <col min="9995" max="9995" width="9" customWidth="1"/>
    <col min="10235" max="10235" width="9" customWidth="1"/>
    <col min="10239" max="10239" width="3" customWidth="1"/>
    <col min="10243" max="10243" width="3" customWidth="1"/>
    <col min="10247" max="10247" width="3" customWidth="1"/>
    <col min="10251" max="10251" width="9" customWidth="1"/>
    <col min="10491" max="10491" width="9" customWidth="1"/>
    <col min="10495" max="10495" width="3" customWidth="1"/>
    <col min="10499" max="10499" width="3" customWidth="1"/>
    <col min="10503" max="10503" width="3" customWidth="1"/>
    <col min="10507" max="10507" width="9" customWidth="1"/>
    <col min="10747" max="10747" width="9" customWidth="1"/>
    <col min="10751" max="10751" width="3" customWidth="1"/>
    <col min="10755" max="10755" width="3" customWidth="1"/>
    <col min="10759" max="10759" width="3" customWidth="1"/>
    <col min="10763" max="10763" width="9" customWidth="1"/>
    <col min="11003" max="11003" width="9" customWidth="1"/>
    <col min="11007" max="11007" width="3" customWidth="1"/>
    <col min="11011" max="11011" width="3" customWidth="1"/>
    <col min="11015" max="11015" width="3" customWidth="1"/>
    <col min="11019" max="11019" width="9" customWidth="1"/>
    <col min="11259" max="11259" width="9" customWidth="1"/>
    <col min="11263" max="11263" width="3" customWidth="1"/>
    <col min="11267" max="11267" width="3" customWidth="1"/>
    <col min="11271" max="11271" width="3" customWidth="1"/>
    <col min="11275" max="11275" width="9" customWidth="1"/>
    <col min="11515" max="11515" width="9" customWidth="1"/>
    <col min="11519" max="11519" width="3" customWidth="1"/>
    <col min="11523" max="11523" width="3" customWidth="1"/>
    <col min="11527" max="11527" width="3" customWidth="1"/>
    <col min="11531" max="11531" width="9" customWidth="1"/>
    <col min="11771" max="11771" width="9" customWidth="1"/>
    <col min="11775" max="11775" width="3" customWidth="1"/>
    <col min="11779" max="11779" width="3" customWidth="1"/>
    <col min="11783" max="11783" width="3" customWidth="1"/>
    <col min="11787" max="11787" width="9" customWidth="1"/>
    <col min="12027" max="12027" width="9" customWidth="1"/>
    <col min="12031" max="12031" width="3" customWidth="1"/>
    <col min="12035" max="12035" width="3" customWidth="1"/>
    <col min="12039" max="12039" width="3" customWidth="1"/>
    <col min="12043" max="12043" width="9" customWidth="1"/>
    <col min="12283" max="12283" width="9" customWidth="1"/>
    <col min="12287" max="12287" width="3" customWidth="1"/>
    <col min="12291" max="12291" width="3" customWidth="1"/>
    <col min="12295" max="12295" width="3" customWidth="1"/>
    <col min="12299" max="12299" width="9" customWidth="1"/>
    <col min="12539" max="12539" width="9" customWidth="1"/>
    <col min="12543" max="12543" width="3" customWidth="1"/>
    <col min="12547" max="12547" width="3" customWidth="1"/>
    <col min="12551" max="12551" width="3" customWidth="1"/>
    <col min="12555" max="12555" width="9" customWidth="1"/>
    <col min="12795" max="12795" width="9" customWidth="1"/>
    <col min="12799" max="12799" width="3" customWidth="1"/>
    <col min="12803" max="12803" width="3" customWidth="1"/>
    <col min="12807" max="12807" width="3" customWidth="1"/>
    <col min="12811" max="12811" width="9" customWidth="1"/>
    <col min="13051" max="13051" width="9" customWidth="1"/>
    <col min="13055" max="13055" width="3" customWidth="1"/>
    <col min="13059" max="13059" width="3" customWidth="1"/>
    <col min="13063" max="13063" width="3" customWidth="1"/>
    <col min="13067" max="13067" width="9" customWidth="1"/>
    <col min="13307" max="13307" width="9" customWidth="1"/>
    <col min="13311" max="13311" width="3" customWidth="1"/>
    <col min="13315" max="13315" width="3" customWidth="1"/>
    <col min="13319" max="13319" width="3" customWidth="1"/>
    <col min="13323" max="13323" width="9" customWidth="1"/>
    <col min="13563" max="13563" width="9" customWidth="1"/>
    <col min="13567" max="13567" width="3" customWidth="1"/>
    <col min="13571" max="13571" width="3" customWidth="1"/>
    <col min="13575" max="13575" width="3" customWidth="1"/>
    <col min="13579" max="13579" width="9" customWidth="1"/>
    <col min="13819" max="13819" width="9" customWidth="1"/>
    <col min="13823" max="13823" width="3" customWidth="1"/>
    <col min="13827" max="13827" width="3" customWidth="1"/>
    <col min="13831" max="13831" width="3" customWidth="1"/>
    <col min="13835" max="13835" width="9" customWidth="1"/>
    <col min="14075" max="14075" width="9" customWidth="1"/>
    <col min="14079" max="14079" width="3" customWidth="1"/>
    <col min="14083" max="14083" width="3" customWidth="1"/>
    <col min="14087" max="14087" width="3" customWidth="1"/>
    <col min="14091" max="14091" width="9" customWidth="1"/>
    <col min="14331" max="14331" width="9" customWidth="1"/>
    <col min="14335" max="14335" width="3" customWidth="1"/>
    <col min="14339" max="14339" width="3" customWidth="1"/>
    <col min="14343" max="14343" width="3" customWidth="1"/>
    <col min="14347" max="14347" width="9" customWidth="1"/>
    <col min="14587" max="14587" width="9" customWidth="1"/>
    <col min="14591" max="14591" width="3" customWidth="1"/>
    <col min="14595" max="14595" width="3" customWidth="1"/>
    <col min="14599" max="14599" width="3" customWidth="1"/>
    <col min="14603" max="14603" width="9" customWidth="1"/>
    <col min="14843" max="14843" width="9" customWidth="1"/>
    <col min="14847" max="14847" width="3" customWidth="1"/>
    <col min="14851" max="14851" width="3" customWidth="1"/>
    <col min="14855" max="14855" width="3" customWidth="1"/>
    <col min="14859" max="14859" width="9" customWidth="1"/>
    <col min="15099" max="15099" width="9" customWidth="1"/>
    <col min="15103" max="15103" width="3" customWidth="1"/>
    <col min="15107" max="15107" width="3" customWidth="1"/>
    <col min="15111" max="15111" width="3" customWidth="1"/>
    <col min="15115" max="15115" width="9" customWidth="1"/>
    <col min="15355" max="15355" width="9" customWidth="1"/>
    <col min="15359" max="15359" width="3" customWidth="1"/>
    <col min="15363" max="15363" width="3" customWidth="1"/>
    <col min="15367" max="15367" width="3" customWidth="1"/>
    <col min="15371" max="15371" width="9" customWidth="1"/>
    <col min="15611" max="15611" width="9" customWidth="1"/>
    <col min="15615" max="15615" width="3" customWidth="1"/>
    <col min="15619" max="15619" width="3" customWidth="1"/>
    <col min="15623" max="15623" width="3" customWidth="1"/>
    <col min="15627" max="15627" width="9" customWidth="1"/>
    <col min="15867" max="15867" width="9" customWidth="1"/>
    <col min="15871" max="15871" width="3" customWidth="1"/>
    <col min="15875" max="15875" width="3" customWidth="1"/>
    <col min="15879" max="15879" width="3" customWidth="1"/>
    <col min="15883" max="15883" width="9" customWidth="1"/>
    <col min="16123" max="16123" width="9" customWidth="1"/>
    <col min="16127" max="16127" width="3" customWidth="1"/>
    <col min="16131" max="16131" width="3" customWidth="1"/>
    <col min="16135" max="16135" width="3" customWidth="1"/>
    <col min="16139" max="16139" width="9" customWidth="1"/>
  </cols>
  <sheetData>
    <row r="1" spans="1:18" ht="11.85" customHeight="1" x14ac:dyDescent="0.25">
      <c r="A1" s="30"/>
      <c r="B1" s="30"/>
      <c r="C1" s="30"/>
      <c r="D1" s="30"/>
      <c r="E1" s="31"/>
      <c r="F1" s="31"/>
      <c r="G1" s="31"/>
      <c r="H1" s="31"/>
      <c r="I1" s="31"/>
      <c r="J1" s="31"/>
      <c r="K1" s="31"/>
      <c r="L1" s="31"/>
      <c r="M1" s="31"/>
      <c r="N1" s="31"/>
      <c r="O1" s="31"/>
      <c r="P1" s="30"/>
    </row>
    <row r="2" spans="1:18" ht="11.1" customHeight="1" x14ac:dyDescent="0.25">
      <c r="A2" s="30"/>
      <c r="B2" s="30"/>
      <c r="C2" s="30"/>
      <c r="D2" s="30"/>
      <c r="E2" s="31"/>
      <c r="F2" s="31"/>
      <c r="G2" s="31"/>
      <c r="H2" s="31"/>
      <c r="I2" s="31"/>
      <c r="J2" s="31"/>
      <c r="K2" s="31"/>
      <c r="L2" s="31"/>
      <c r="M2" s="31"/>
      <c r="N2" s="31"/>
      <c r="O2" s="31"/>
      <c r="P2" s="30"/>
    </row>
    <row r="3" spans="1:18" ht="11.1" customHeight="1" x14ac:dyDescent="0.25">
      <c r="A3" s="30"/>
      <c r="B3" s="30"/>
      <c r="C3" s="30"/>
      <c r="D3" s="30"/>
      <c r="E3" s="31"/>
      <c r="F3" s="31"/>
      <c r="G3" s="31"/>
      <c r="H3" s="31"/>
      <c r="I3" s="31"/>
      <c r="J3" s="31"/>
      <c r="K3" s="31"/>
      <c r="L3" s="31"/>
      <c r="M3" s="31"/>
      <c r="N3" s="31"/>
      <c r="O3" s="31"/>
      <c r="P3" s="30"/>
    </row>
    <row r="4" spans="1:18" ht="11.1" customHeight="1" x14ac:dyDescent="0.25">
      <c r="A4" s="30"/>
      <c r="B4" s="30"/>
      <c r="C4" s="30"/>
      <c r="D4" s="30"/>
      <c r="E4" s="31"/>
      <c r="F4" s="31"/>
      <c r="G4" s="31"/>
      <c r="H4" s="31"/>
      <c r="I4" s="31"/>
      <c r="J4" s="31"/>
      <c r="K4" s="31"/>
      <c r="L4" s="31"/>
      <c r="M4" s="31"/>
      <c r="N4" s="31"/>
      <c r="O4" s="31"/>
      <c r="P4" s="30"/>
    </row>
    <row r="5" spans="1:18" ht="26.85" customHeight="1" x14ac:dyDescent="0.25">
      <c r="A5" s="30"/>
      <c r="B5" s="30"/>
      <c r="C5" s="84" t="s">
        <v>0</v>
      </c>
      <c r="D5" s="82"/>
      <c r="E5" s="82"/>
      <c r="F5" s="82"/>
      <c r="G5" s="82"/>
      <c r="H5" s="82"/>
      <c r="I5" s="82"/>
      <c r="J5" s="82"/>
      <c r="K5" s="82"/>
      <c r="L5" s="82"/>
      <c r="M5" s="82"/>
      <c r="N5" s="30"/>
      <c r="O5" s="30"/>
      <c r="P5" s="30"/>
    </row>
    <row r="6" spans="1:18" ht="11.1" customHeight="1" x14ac:dyDescent="0.25">
      <c r="A6" s="30"/>
      <c r="B6" s="30"/>
      <c r="C6" s="30"/>
      <c r="D6" s="30"/>
      <c r="E6" s="31"/>
      <c r="F6" s="31"/>
      <c r="G6" s="31"/>
      <c r="H6" s="31"/>
      <c r="I6" s="31"/>
      <c r="J6" s="31"/>
      <c r="K6" s="31"/>
      <c r="L6" s="31"/>
      <c r="M6" s="31"/>
      <c r="N6" s="31"/>
      <c r="O6" s="31"/>
      <c r="P6" s="30"/>
    </row>
    <row r="7" spans="1:18" ht="63.6" customHeight="1" x14ac:dyDescent="0.25">
      <c r="A7" s="66" t="s">
        <v>1</v>
      </c>
      <c r="B7" s="67"/>
      <c r="C7" s="68" t="s">
        <v>2</v>
      </c>
      <c r="D7" s="67"/>
      <c r="E7" s="64" t="s">
        <v>3</v>
      </c>
      <c r="F7" s="69"/>
      <c r="G7" s="64" t="s">
        <v>4</v>
      </c>
      <c r="H7" s="69"/>
      <c r="I7" s="64" t="s">
        <v>5</v>
      </c>
      <c r="J7" s="69"/>
      <c r="K7" s="64" t="s">
        <v>6</v>
      </c>
      <c r="L7" s="69"/>
      <c r="M7" s="63" t="s">
        <v>7</v>
      </c>
      <c r="N7" s="69"/>
      <c r="O7" s="66" t="s">
        <v>8</v>
      </c>
      <c r="P7" s="67"/>
      <c r="R7" s="29"/>
    </row>
    <row r="8" spans="1:18" ht="22.35" customHeight="1" x14ac:dyDescent="0.25">
      <c r="A8" s="30"/>
      <c r="B8" s="30"/>
      <c r="C8" s="30"/>
      <c r="D8" s="30"/>
      <c r="E8" s="30"/>
      <c r="F8" s="30"/>
      <c r="G8" s="30"/>
      <c r="H8" s="30"/>
      <c r="I8" s="30"/>
      <c r="J8" s="30"/>
      <c r="K8" s="30"/>
      <c r="L8" s="30"/>
      <c r="M8" s="30"/>
      <c r="N8" s="30"/>
      <c r="O8" s="30"/>
      <c r="P8" s="30"/>
    </row>
    <row r="9" spans="1:18" ht="65.849999999999994" customHeight="1" x14ac:dyDescent="0.25">
      <c r="A9" s="63" t="s">
        <v>9</v>
      </c>
      <c r="B9" s="30"/>
      <c r="C9" s="65" t="s">
        <v>10</v>
      </c>
      <c r="D9" s="30"/>
      <c r="E9" s="63" t="s">
        <v>11</v>
      </c>
      <c r="F9" s="30"/>
      <c r="G9" s="83" t="s">
        <v>12</v>
      </c>
      <c r="H9" s="82"/>
      <c r="I9" s="82"/>
      <c r="J9" s="82"/>
      <c r="K9" s="82"/>
      <c r="L9" s="30"/>
      <c r="M9" s="70" t="e">
        <f>'% Cumplimiento'!E11</f>
        <v>#REF!</v>
      </c>
      <c r="N9" s="30"/>
      <c r="O9" s="45" t="e">
        <f>#REF!+#REF!+#REF!+#REF!+#REF!+#REF!+#REF!</f>
        <v>#REF!</v>
      </c>
      <c r="P9" s="30"/>
    </row>
    <row r="10" spans="1:18" ht="9" customHeight="1" x14ac:dyDescent="0.25">
      <c r="A10" s="30"/>
      <c r="B10" s="30"/>
      <c r="C10" s="30"/>
      <c r="D10" s="30"/>
      <c r="E10" s="30"/>
      <c r="F10" s="30"/>
      <c r="G10" s="30"/>
      <c r="H10" s="30"/>
      <c r="I10" s="30"/>
      <c r="J10" s="30"/>
      <c r="K10" s="30"/>
      <c r="L10" s="30"/>
      <c r="M10" s="30"/>
      <c r="N10" s="30"/>
      <c r="O10" s="30"/>
      <c r="P10" s="30"/>
    </row>
    <row r="11" spans="1:18" ht="70.5" customHeight="1" x14ac:dyDescent="0.25">
      <c r="A11" s="81" t="s">
        <v>13</v>
      </c>
      <c r="B11" s="82"/>
      <c r="C11" s="82"/>
      <c r="D11" s="82"/>
      <c r="E11" s="82"/>
      <c r="F11" s="82"/>
      <c r="G11" s="82"/>
      <c r="H11" s="82"/>
      <c r="I11" s="82"/>
      <c r="J11" s="82"/>
      <c r="K11" s="82"/>
      <c r="L11" s="82"/>
      <c r="M11" s="82"/>
      <c r="N11" s="82"/>
      <c r="O11" s="82"/>
    </row>
  </sheetData>
  <mergeCells count="3">
    <mergeCell ref="A11:O11"/>
    <mergeCell ref="G9:K9"/>
    <mergeCell ref="C5:M5"/>
  </mergeCells>
  <hyperlinks>
    <hyperlink ref="C5" location="Procedimiento!A1" display="PROCEDIMIENTO PARA IDENTIFICAR, AGRUPAR, EVALUAR Y ACTUALIZAR LOS REQUISTOS LEGALES " xr:uid="{00000000-0004-0000-0000-000000000000}"/>
    <hyperlink ref="A7" location="'Requisitos generales'!A1" display="REQUISITOS GENERALES" xr:uid="{00000000-0004-0000-0000-000001000000}"/>
    <hyperlink ref="C7" location="'De Seguridad'!A1" display="'De Seguridad'!A1" xr:uid="{00000000-0004-0000-0000-000002000000}"/>
    <hyperlink ref="E7" location="Físicos!A1" display="FÍSICOS" xr:uid="{00000000-0004-0000-0000-000003000000}"/>
    <hyperlink ref="G7" location="Químico!A1" display="QUÍMICOS" xr:uid="{00000000-0004-0000-0000-000004000000}"/>
    <hyperlink ref="I7" location="Biológicos!A1" display="BIOLÓGICOS" xr:uid="{00000000-0004-0000-0000-000005000000}"/>
    <hyperlink ref="K7" location="Psicosocial!A1" display="PSICOSOCIAL" xr:uid="{00000000-0004-0000-0000-000006000000}"/>
    <hyperlink ref="M7" location="Biomecánicos!A1" display="BIOMECÁNICOS" xr:uid="{00000000-0004-0000-0000-000007000000}"/>
    <hyperlink ref="A9" location="Cambios!A1" display="CONTROL DE CAMBIOS" xr:uid="{00000000-0004-0000-0000-000008000000}"/>
    <hyperlink ref="C9" location="Sanciones!A1" display="TABLA DE SANCIONES" xr:uid="{00000000-0004-0000-0000-000009000000}"/>
    <hyperlink ref="E9" location="Otros!A1" display="Otros!A1" xr:uid="{00000000-0004-0000-0000-00000A000000}"/>
    <hyperlink ref="G9" location="'% Cumplimiento'!A1" display="INDICADOR DE CUMPLIMIENTO LEGAL" xr:uid="{00000000-0004-0000-0000-00000B000000}"/>
  </hyperlinks>
  <pageMargins left="0.7" right="0.7" top="0.75" bottom="0.75" header="0.3" footer="0.3"/>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5"/>
  <dimension ref="A1:I22"/>
  <sheetViews>
    <sheetView showGridLines="0" zoomScale="90" zoomScaleNormal="90" workbookViewId="0">
      <selection activeCell="S14" sqref="S14"/>
    </sheetView>
  </sheetViews>
  <sheetFormatPr baseColWidth="10" defaultColWidth="9" defaultRowHeight="12.75" x14ac:dyDescent="0.2"/>
  <cols>
    <col min="1" max="1" width="5" style="3" customWidth="1"/>
    <col min="2" max="2" width="19" style="3" customWidth="1"/>
    <col min="3" max="3" width="8" style="3" customWidth="1"/>
    <col min="4" max="4" width="9" style="3" customWidth="1"/>
    <col min="5" max="5" width="13.28515625" style="3" customWidth="1"/>
    <col min="6" max="253" width="9" style="3" customWidth="1"/>
    <col min="254" max="254" width="46" style="3" customWidth="1"/>
    <col min="255" max="255" width="19" style="3" customWidth="1"/>
    <col min="256" max="256" width="20.42578125" style="3" customWidth="1"/>
    <col min="257" max="257" width="21.42578125" style="3" customWidth="1"/>
    <col min="258" max="509" width="9" style="3" customWidth="1"/>
    <col min="510" max="510" width="46" style="3" customWidth="1"/>
    <col min="511" max="511" width="19" style="3" customWidth="1"/>
    <col min="512" max="512" width="20.42578125" style="3" customWidth="1"/>
    <col min="513" max="513" width="21.42578125" style="3" customWidth="1"/>
    <col min="514" max="765" width="9" style="3" customWidth="1"/>
    <col min="766" max="766" width="46" style="3" customWidth="1"/>
    <col min="767" max="767" width="19" style="3" customWidth="1"/>
    <col min="768" max="768" width="20.42578125" style="3" customWidth="1"/>
    <col min="769" max="769" width="21.42578125" style="3" customWidth="1"/>
    <col min="770" max="1021" width="9" style="3" customWidth="1"/>
    <col min="1022" max="1022" width="46" style="3" customWidth="1"/>
    <col min="1023" max="1023" width="19" style="3" customWidth="1"/>
    <col min="1024" max="1024" width="20.42578125" style="3" customWidth="1"/>
    <col min="1025" max="1025" width="21.42578125" style="3" customWidth="1"/>
    <col min="1026" max="1277" width="9" style="3" customWidth="1"/>
    <col min="1278" max="1278" width="46" style="3" customWidth="1"/>
    <col min="1279" max="1279" width="19" style="3" customWidth="1"/>
    <col min="1280" max="1280" width="20.42578125" style="3" customWidth="1"/>
    <col min="1281" max="1281" width="21.42578125" style="3" customWidth="1"/>
    <col min="1282" max="1533" width="9" style="3" customWidth="1"/>
    <col min="1534" max="1534" width="46" style="3" customWidth="1"/>
    <col min="1535" max="1535" width="19" style="3" customWidth="1"/>
    <col min="1536" max="1536" width="20.42578125" style="3" customWidth="1"/>
    <col min="1537" max="1537" width="21.42578125" style="3" customWidth="1"/>
    <col min="1538" max="1789" width="9" style="3" customWidth="1"/>
    <col min="1790" max="1790" width="46" style="3" customWidth="1"/>
    <col min="1791" max="1791" width="19" style="3" customWidth="1"/>
    <col min="1792" max="1792" width="20.42578125" style="3" customWidth="1"/>
    <col min="1793" max="1793" width="21.42578125" style="3" customWidth="1"/>
    <col min="1794" max="2045" width="9" style="3" customWidth="1"/>
    <col min="2046" max="2046" width="46" style="3" customWidth="1"/>
    <col min="2047" max="2047" width="19" style="3" customWidth="1"/>
    <col min="2048" max="2048" width="20.42578125" style="3" customWidth="1"/>
    <col min="2049" max="2049" width="21.42578125" style="3" customWidth="1"/>
    <col min="2050" max="2301" width="9" style="3" customWidth="1"/>
    <col min="2302" max="2302" width="46" style="3" customWidth="1"/>
    <col min="2303" max="2303" width="19" style="3" customWidth="1"/>
    <col min="2304" max="2304" width="20.42578125" style="3" customWidth="1"/>
    <col min="2305" max="2305" width="21.42578125" style="3" customWidth="1"/>
    <col min="2306" max="2557" width="9" style="3" customWidth="1"/>
    <col min="2558" max="2558" width="46" style="3" customWidth="1"/>
    <col min="2559" max="2559" width="19" style="3" customWidth="1"/>
    <col min="2560" max="2560" width="20.42578125" style="3" customWidth="1"/>
    <col min="2561" max="2561" width="21.42578125" style="3" customWidth="1"/>
    <col min="2562" max="2813" width="9" style="3" customWidth="1"/>
    <col min="2814" max="2814" width="46" style="3" customWidth="1"/>
    <col min="2815" max="2815" width="19" style="3" customWidth="1"/>
    <col min="2816" max="2816" width="20.42578125" style="3" customWidth="1"/>
    <col min="2817" max="2817" width="21.42578125" style="3" customWidth="1"/>
    <col min="2818" max="3069" width="9" style="3" customWidth="1"/>
    <col min="3070" max="3070" width="46" style="3" customWidth="1"/>
    <col min="3071" max="3071" width="19" style="3" customWidth="1"/>
    <col min="3072" max="3072" width="20.42578125" style="3" customWidth="1"/>
    <col min="3073" max="3073" width="21.42578125" style="3" customWidth="1"/>
    <col min="3074" max="3325" width="9" style="3" customWidth="1"/>
    <col min="3326" max="3326" width="46" style="3" customWidth="1"/>
    <col min="3327" max="3327" width="19" style="3" customWidth="1"/>
    <col min="3328" max="3328" width="20.42578125" style="3" customWidth="1"/>
    <col min="3329" max="3329" width="21.42578125" style="3" customWidth="1"/>
    <col min="3330" max="3581" width="9" style="3" customWidth="1"/>
    <col min="3582" max="3582" width="46" style="3" customWidth="1"/>
    <col min="3583" max="3583" width="19" style="3" customWidth="1"/>
    <col min="3584" max="3584" width="20.42578125" style="3" customWidth="1"/>
    <col min="3585" max="3585" width="21.42578125" style="3" customWidth="1"/>
    <col min="3586" max="3837" width="9" style="3" customWidth="1"/>
    <col min="3838" max="3838" width="46" style="3" customWidth="1"/>
    <col min="3839" max="3839" width="19" style="3" customWidth="1"/>
    <col min="3840" max="3840" width="20.42578125" style="3" customWidth="1"/>
    <col min="3841" max="3841" width="21.42578125" style="3" customWidth="1"/>
    <col min="3842" max="4093" width="9" style="3" customWidth="1"/>
    <col min="4094" max="4094" width="46" style="3" customWidth="1"/>
    <col min="4095" max="4095" width="19" style="3" customWidth="1"/>
    <col min="4096" max="4096" width="20.42578125" style="3" customWidth="1"/>
    <col min="4097" max="4097" width="21.42578125" style="3" customWidth="1"/>
    <col min="4098" max="4349" width="9" style="3" customWidth="1"/>
    <col min="4350" max="4350" width="46" style="3" customWidth="1"/>
    <col min="4351" max="4351" width="19" style="3" customWidth="1"/>
    <col min="4352" max="4352" width="20.42578125" style="3" customWidth="1"/>
    <col min="4353" max="4353" width="21.42578125" style="3" customWidth="1"/>
    <col min="4354" max="4605" width="9" style="3" customWidth="1"/>
    <col min="4606" max="4606" width="46" style="3" customWidth="1"/>
    <col min="4607" max="4607" width="19" style="3" customWidth="1"/>
    <col min="4608" max="4608" width="20.42578125" style="3" customWidth="1"/>
    <col min="4609" max="4609" width="21.42578125" style="3" customWidth="1"/>
    <col min="4610" max="4861" width="9" style="3" customWidth="1"/>
    <col min="4862" max="4862" width="46" style="3" customWidth="1"/>
    <col min="4863" max="4863" width="19" style="3" customWidth="1"/>
    <col min="4864" max="4864" width="20.42578125" style="3" customWidth="1"/>
    <col min="4865" max="4865" width="21.42578125" style="3" customWidth="1"/>
    <col min="4866" max="5117" width="9" style="3" customWidth="1"/>
    <col min="5118" max="5118" width="46" style="3" customWidth="1"/>
    <col min="5119" max="5119" width="19" style="3" customWidth="1"/>
    <col min="5120" max="5120" width="20.42578125" style="3" customWidth="1"/>
    <col min="5121" max="5121" width="21.42578125" style="3" customWidth="1"/>
    <col min="5122" max="5373" width="9" style="3" customWidth="1"/>
    <col min="5374" max="5374" width="46" style="3" customWidth="1"/>
    <col min="5375" max="5375" width="19" style="3" customWidth="1"/>
    <col min="5376" max="5376" width="20.42578125" style="3" customWidth="1"/>
    <col min="5377" max="5377" width="21.42578125" style="3" customWidth="1"/>
    <col min="5378" max="5629" width="9" style="3" customWidth="1"/>
    <col min="5630" max="5630" width="46" style="3" customWidth="1"/>
    <col min="5631" max="5631" width="19" style="3" customWidth="1"/>
    <col min="5632" max="5632" width="20.42578125" style="3" customWidth="1"/>
    <col min="5633" max="5633" width="21.42578125" style="3" customWidth="1"/>
    <col min="5634" max="5885" width="9" style="3" customWidth="1"/>
    <col min="5886" max="5886" width="46" style="3" customWidth="1"/>
    <col min="5887" max="5887" width="19" style="3" customWidth="1"/>
    <col min="5888" max="5888" width="20.42578125" style="3" customWidth="1"/>
    <col min="5889" max="5889" width="21.42578125" style="3" customWidth="1"/>
    <col min="5890" max="6141" width="9" style="3" customWidth="1"/>
    <col min="6142" max="6142" width="46" style="3" customWidth="1"/>
    <col min="6143" max="6143" width="19" style="3" customWidth="1"/>
    <col min="6144" max="6144" width="20.42578125" style="3" customWidth="1"/>
    <col min="6145" max="6145" width="21.42578125" style="3" customWidth="1"/>
    <col min="6146" max="6397" width="9" style="3" customWidth="1"/>
    <col min="6398" max="6398" width="46" style="3" customWidth="1"/>
    <col min="6399" max="6399" width="19" style="3" customWidth="1"/>
    <col min="6400" max="6400" width="20.42578125" style="3" customWidth="1"/>
    <col min="6401" max="6401" width="21.42578125" style="3" customWidth="1"/>
    <col min="6402" max="6653" width="9" style="3" customWidth="1"/>
    <col min="6654" max="6654" width="46" style="3" customWidth="1"/>
    <col min="6655" max="6655" width="19" style="3" customWidth="1"/>
    <col min="6656" max="6656" width="20.42578125" style="3" customWidth="1"/>
    <col min="6657" max="6657" width="21.42578125" style="3" customWidth="1"/>
    <col min="6658" max="6909" width="9" style="3" customWidth="1"/>
    <col min="6910" max="6910" width="46" style="3" customWidth="1"/>
    <col min="6911" max="6911" width="19" style="3" customWidth="1"/>
    <col min="6912" max="6912" width="20.42578125" style="3" customWidth="1"/>
    <col min="6913" max="6913" width="21.42578125" style="3" customWidth="1"/>
    <col min="6914" max="7165" width="9" style="3" customWidth="1"/>
    <col min="7166" max="7166" width="46" style="3" customWidth="1"/>
    <col min="7167" max="7167" width="19" style="3" customWidth="1"/>
    <col min="7168" max="7168" width="20.42578125" style="3" customWidth="1"/>
    <col min="7169" max="7169" width="21.42578125" style="3" customWidth="1"/>
    <col min="7170" max="7421" width="9" style="3" customWidth="1"/>
    <col min="7422" max="7422" width="46" style="3" customWidth="1"/>
    <col min="7423" max="7423" width="19" style="3" customWidth="1"/>
    <col min="7424" max="7424" width="20.42578125" style="3" customWidth="1"/>
    <col min="7425" max="7425" width="21.42578125" style="3" customWidth="1"/>
    <col min="7426" max="7677" width="9" style="3" customWidth="1"/>
    <col min="7678" max="7678" width="46" style="3" customWidth="1"/>
    <col min="7679" max="7679" width="19" style="3" customWidth="1"/>
    <col min="7680" max="7680" width="20.42578125" style="3" customWidth="1"/>
    <col min="7681" max="7681" width="21.42578125" style="3" customWidth="1"/>
    <col min="7682" max="7933" width="9" style="3" customWidth="1"/>
    <col min="7934" max="7934" width="46" style="3" customWidth="1"/>
    <col min="7935" max="7935" width="19" style="3" customWidth="1"/>
    <col min="7936" max="7936" width="20.42578125" style="3" customWidth="1"/>
    <col min="7937" max="7937" width="21.42578125" style="3" customWidth="1"/>
    <col min="7938" max="8189" width="9" style="3" customWidth="1"/>
    <col min="8190" max="8190" width="46" style="3" customWidth="1"/>
    <col min="8191" max="8191" width="19" style="3" customWidth="1"/>
    <col min="8192" max="8192" width="20.42578125" style="3" customWidth="1"/>
    <col min="8193" max="8193" width="21.42578125" style="3" customWidth="1"/>
    <col min="8194" max="8445" width="9" style="3" customWidth="1"/>
    <col min="8446" max="8446" width="46" style="3" customWidth="1"/>
    <col min="8447" max="8447" width="19" style="3" customWidth="1"/>
    <col min="8448" max="8448" width="20.42578125" style="3" customWidth="1"/>
    <col min="8449" max="8449" width="21.42578125" style="3" customWidth="1"/>
    <col min="8450" max="8701" width="9" style="3" customWidth="1"/>
    <col min="8702" max="8702" width="46" style="3" customWidth="1"/>
    <col min="8703" max="8703" width="19" style="3" customWidth="1"/>
    <col min="8704" max="8704" width="20.42578125" style="3" customWidth="1"/>
    <col min="8705" max="8705" width="21.42578125" style="3" customWidth="1"/>
    <col min="8706" max="8957" width="9" style="3" customWidth="1"/>
    <col min="8958" max="8958" width="46" style="3" customWidth="1"/>
    <col min="8959" max="8959" width="19" style="3" customWidth="1"/>
    <col min="8960" max="8960" width="20.42578125" style="3" customWidth="1"/>
    <col min="8961" max="8961" width="21.42578125" style="3" customWidth="1"/>
    <col min="8962" max="9213" width="9" style="3" customWidth="1"/>
    <col min="9214" max="9214" width="46" style="3" customWidth="1"/>
    <col min="9215" max="9215" width="19" style="3" customWidth="1"/>
    <col min="9216" max="9216" width="20.42578125" style="3" customWidth="1"/>
    <col min="9217" max="9217" width="21.42578125" style="3" customWidth="1"/>
    <col min="9218" max="9469" width="9" style="3" customWidth="1"/>
    <col min="9470" max="9470" width="46" style="3" customWidth="1"/>
    <col min="9471" max="9471" width="19" style="3" customWidth="1"/>
    <col min="9472" max="9472" width="20.42578125" style="3" customWidth="1"/>
    <col min="9473" max="9473" width="21.42578125" style="3" customWidth="1"/>
    <col min="9474" max="9725" width="9" style="3" customWidth="1"/>
    <col min="9726" max="9726" width="46" style="3" customWidth="1"/>
    <col min="9727" max="9727" width="19" style="3" customWidth="1"/>
    <col min="9728" max="9728" width="20.42578125" style="3" customWidth="1"/>
    <col min="9729" max="9729" width="21.42578125" style="3" customWidth="1"/>
    <col min="9730" max="9981" width="9" style="3" customWidth="1"/>
    <col min="9982" max="9982" width="46" style="3" customWidth="1"/>
    <col min="9983" max="9983" width="19" style="3" customWidth="1"/>
    <col min="9984" max="9984" width="20.42578125" style="3" customWidth="1"/>
    <col min="9985" max="9985" width="21.42578125" style="3" customWidth="1"/>
    <col min="9986" max="10237" width="9" style="3" customWidth="1"/>
    <col min="10238" max="10238" width="46" style="3" customWidth="1"/>
    <col min="10239" max="10239" width="19" style="3" customWidth="1"/>
    <col min="10240" max="10240" width="20.42578125" style="3" customWidth="1"/>
    <col min="10241" max="10241" width="21.42578125" style="3" customWidth="1"/>
    <col min="10242" max="10493" width="9" style="3" customWidth="1"/>
    <col min="10494" max="10494" width="46" style="3" customWidth="1"/>
    <col min="10495" max="10495" width="19" style="3" customWidth="1"/>
    <col min="10496" max="10496" width="20.42578125" style="3" customWidth="1"/>
    <col min="10497" max="10497" width="21.42578125" style="3" customWidth="1"/>
    <col min="10498" max="10749" width="9" style="3" customWidth="1"/>
    <col min="10750" max="10750" width="46" style="3" customWidth="1"/>
    <col min="10751" max="10751" width="19" style="3" customWidth="1"/>
    <col min="10752" max="10752" width="20.42578125" style="3" customWidth="1"/>
    <col min="10753" max="10753" width="21.42578125" style="3" customWidth="1"/>
    <col min="10754" max="11005" width="9" style="3" customWidth="1"/>
    <col min="11006" max="11006" width="46" style="3" customWidth="1"/>
    <col min="11007" max="11007" width="19" style="3" customWidth="1"/>
    <col min="11008" max="11008" width="20.42578125" style="3" customWidth="1"/>
    <col min="11009" max="11009" width="21.42578125" style="3" customWidth="1"/>
    <col min="11010" max="11261" width="9" style="3" customWidth="1"/>
    <col min="11262" max="11262" width="46" style="3" customWidth="1"/>
    <col min="11263" max="11263" width="19" style="3" customWidth="1"/>
    <col min="11264" max="11264" width="20.42578125" style="3" customWidth="1"/>
    <col min="11265" max="11265" width="21.42578125" style="3" customWidth="1"/>
    <col min="11266" max="11517" width="9" style="3" customWidth="1"/>
    <col min="11518" max="11518" width="46" style="3" customWidth="1"/>
    <col min="11519" max="11519" width="19" style="3" customWidth="1"/>
    <col min="11520" max="11520" width="20.42578125" style="3" customWidth="1"/>
    <col min="11521" max="11521" width="21.42578125" style="3" customWidth="1"/>
    <col min="11522" max="11773" width="9" style="3" customWidth="1"/>
    <col min="11774" max="11774" width="46" style="3" customWidth="1"/>
    <col min="11775" max="11775" width="19" style="3" customWidth="1"/>
    <col min="11776" max="11776" width="20.42578125" style="3" customWidth="1"/>
    <col min="11777" max="11777" width="21.42578125" style="3" customWidth="1"/>
    <col min="11778" max="12029" width="9" style="3" customWidth="1"/>
    <col min="12030" max="12030" width="46" style="3" customWidth="1"/>
    <col min="12031" max="12031" width="19" style="3" customWidth="1"/>
    <col min="12032" max="12032" width="20.42578125" style="3" customWidth="1"/>
    <col min="12033" max="12033" width="21.42578125" style="3" customWidth="1"/>
    <col min="12034" max="12285" width="9" style="3" customWidth="1"/>
    <col min="12286" max="12286" width="46" style="3" customWidth="1"/>
    <col min="12287" max="12287" width="19" style="3" customWidth="1"/>
    <col min="12288" max="12288" width="20.42578125" style="3" customWidth="1"/>
    <col min="12289" max="12289" width="21.42578125" style="3" customWidth="1"/>
    <col min="12290" max="12541" width="9" style="3" customWidth="1"/>
    <col min="12542" max="12542" width="46" style="3" customWidth="1"/>
    <col min="12543" max="12543" width="19" style="3" customWidth="1"/>
    <col min="12544" max="12544" width="20.42578125" style="3" customWidth="1"/>
    <col min="12545" max="12545" width="21.42578125" style="3" customWidth="1"/>
    <col min="12546" max="12797" width="9" style="3" customWidth="1"/>
    <col min="12798" max="12798" width="46" style="3" customWidth="1"/>
    <col min="12799" max="12799" width="19" style="3" customWidth="1"/>
    <col min="12800" max="12800" width="20.42578125" style="3" customWidth="1"/>
    <col min="12801" max="12801" width="21.42578125" style="3" customWidth="1"/>
    <col min="12802" max="13053" width="9" style="3" customWidth="1"/>
    <col min="13054" max="13054" width="46" style="3" customWidth="1"/>
    <col min="13055" max="13055" width="19" style="3" customWidth="1"/>
    <col min="13056" max="13056" width="20.42578125" style="3" customWidth="1"/>
    <col min="13057" max="13057" width="21.42578125" style="3" customWidth="1"/>
    <col min="13058" max="13309" width="9" style="3" customWidth="1"/>
    <col min="13310" max="13310" width="46" style="3" customWidth="1"/>
    <col min="13311" max="13311" width="19" style="3" customWidth="1"/>
    <col min="13312" max="13312" width="20.42578125" style="3" customWidth="1"/>
    <col min="13313" max="13313" width="21.42578125" style="3" customWidth="1"/>
    <col min="13314" max="13565" width="9" style="3" customWidth="1"/>
    <col min="13566" max="13566" width="46" style="3" customWidth="1"/>
    <col min="13567" max="13567" width="19" style="3" customWidth="1"/>
    <col min="13568" max="13568" width="20.42578125" style="3" customWidth="1"/>
    <col min="13569" max="13569" width="21.42578125" style="3" customWidth="1"/>
    <col min="13570" max="13821" width="9" style="3" customWidth="1"/>
    <col min="13822" max="13822" width="46" style="3" customWidth="1"/>
    <col min="13823" max="13823" width="19" style="3" customWidth="1"/>
    <col min="13824" max="13824" width="20.42578125" style="3" customWidth="1"/>
    <col min="13825" max="13825" width="21.42578125" style="3" customWidth="1"/>
    <col min="13826" max="14077" width="9" style="3" customWidth="1"/>
    <col min="14078" max="14078" width="46" style="3" customWidth="1"/>
    <col min="14079" max="14079" width="19" style="3" customWidth="1"/>
    <col min="14080" max="14080" width="20.42578125" style="3" customWidth="1"/>
    <col min="14081" max="14081" width="21.42578125" style="3" customWidth="1"/>
    <col min="14082" max="14333" width="9" style="3" customWidth="1"/>
    <col min="14334" max="14334" width="46" style="3" customWidth="1"/>
    <col min="14335" max="14335" width="19" style="3" customWidth="1"/>
    <col min="14336" max="14336" width="20.42578125" style="3" customWidth="1"/>
    <col min="14337" max="14337" width="21.42578125" style="3" customWidth="1"/>
    <col min="14338" max="14589" width="9" style="3" customWidth="1"/>
    <col min="14590" max="14590" width="46" style="3" customWidth="1"/>
    <col min="14591" max="14591" width="19" style="3" customWidth="1"/>
    <col min="14592" max="14592" width="20.42578125" style="3" customWidth="1"/>
    <col min="14593" max="14593" width="21.42578125" style="3" customWidth="1"/>
    <col min="14594" max="14845" width="9" style="3" customWidth="1"/>
    <col min="14846" max="14846" width="46" style="3" customWidth="1"/>
    <col min="14847" max="14847" width="19" style="3" customWidth="1"/>
    <col min="14848" max="14848" width="20.42578125" style="3" customWidth="1"/>
    <col min="14849" max="14849" width="21.42578125" style="3" customWidth="1"/>
    <col min="14850" max="15101" width="9" style="3" customWidth="1"/>
    <col min="15102" max="15102" width="46" style="3" customWidth="1"/>
    <col min="15103" max="15103" width="19" style="3" customWidth="1"/>
    <col min="15104" max="15104" width="20.42578125" style="3" customWidth="1"/>
    <col min="15105" max="15105" width="21.42578125" style="3" customWidth="1"/>
    <col min="15106" max="15357" width="9" style="3" customWidth="1"/>
    <col min="15358" max="15358" width="46" style="3" customWidth="1"/>
    <col min="15359" max="15359" width="19" style="3" customWidth="1"/>
    <col min="15360" max="15360" width="20.42578125" style="3" customWidth="1"/>
    <col min="15361" max="15361" width="21.42578125" style="3" customWidth="1"/>
    <col min="15362" max="15613" width="9" style="3" customWidth="1"/>
    <col min="15614" max="15614" width="46" style="3" customWidth="1"/>
    <col min="15615" max="15615" width="19" style="3" customWidth="1"/>
    <col min="15616" max="15616" width="20.42578125" style="3" customWidth="1"/>
    <col min="15617" max="15617" width="21.42578125" style="3" customWidth="1"/>
    <col min="15618" max="15869" width="9" style="3" customWidth="1"/>
    <col min="15870" max="15870" width="46" style="3" customWidth="1"/>
    <col min="15871" max="15871" width="19" style="3" customWidth="1"/>
    <col min="15872" max="15872" width="20.42578125" style="3" customWidth="1"/>
    <col min="15873" max="15873" width="21.42578125" style="3" customWidth="1"/>
    <col min="15874" max="16125" width="9" style="3" customWidth="1"/>
    <col min="16126" max="16126" width="46" style="3" customWidth="1"/>
    <col min="16127" max="16127" width="19" style="3" customWidth="1"/>
    <col min="16128" max="16128" width="20.42578125" style="3" customWidth="1"/>
    <col min="16129" max="16129" width="21.42578125" style="3" customWidth="1"/>
    <col min="16130" max="16384" width="9" style="3" customWidth="1"/>
  </cols>
  <sheetData>
    <row r="1" spans="1:9" ht="36" customHeight="1" thickBot="1" x14ac:dyDescent="0.4">
      <c r="A1" s="103"/>
      <c r="B1" s="104"/>
      <c r="C1" s="90" t="s">
        <v>14</v>
      </c>
      <c r="D1" s="91"/>
      <c r="E1" s="92"/>
      <c r="F1" s="88"/>
      <c r="G1" s="89"/>
    </row>
    <row r="2" spans="1:9" ht="19.5" customHeight="1" thickBot="1" x14ac:dyDescent="0.3">
      <c r="A2" s="46"/>
      <c r="B2" s="93" t="s">
        <v>15</v>
      </c>
      <c r="C2" s="89"/>
      <c r="D2" s="89"/>
      <c r="E2" s="89"/>
    </row>
    <row r="3" spans="1:9" ht="49.35" customHeight="1" thickBot="1" x14ac:dyDescent="0.3">
      <c r="A3" s="46"/>
      <c r="B3" s="47" t="s">
        <v>16</v>
      </c>
      <c r="C3" s="48" t="s">
        <v>17</v>
      </c>
      <c r="D3" s="48" t="s">
        <v>18</v>
      </c>
      <c r="E3" s="49" t="s">
        <v>19</v>
      </c>
      <c r="F3" s="94" t="s">
        <v>20</v>
      </c>
      <c r="G3" s="95"/>
      <c r="H3" s="95"/>
      <c r="I3" s="96"/>
    </row>
    <row r="4" spans="1:9" ht="17.100000000000001" customHeight="1" thickBot="1" x14ac:dyDescent="0.25">
      <c r="A4" s="85" t="s">
        <v>21</v>
      </c>
      <c r="B4" s="50" t="s">
        <v>22</v>
      </c>
      <c r="C4" s="51">
        <v>70</v>
      </c>
      <c r="D4" s="52" t="e">
        <f>#REF!</f>
        <v>#REF!</v>
      </c>
      <c r="E4" s="53" t="e">
        <f t="shared" ref="E4:E10" si="0">D4/C4</f>
        <v>#REF!</v>
      </c>
      <c r="F4" s="97"/>
      <c r="G4" s="89"/>
      <c r="H4" s="89"/>
      <c r="I4" s="98"/>
    </row>
    <row r="5" spans="1:9" ht="17.100000000000001" customHeight="1" thickBot="1" x14ac:dyDescent="0.25">
      <c r="A5" s="86"/>
      <c r="B5" s="50" t="s">
        <v>23</v>
      </c>
      <c r="C5" s="51">
        <v>10</v>
      </c>
      <c r="D5" s="52" t="e">
        <f>#REF!</f>
        <v>#REF!</v>
      </c>
      <c r="E5" s="53" t="e">
        <f t="shared" si="0"/>
        <v>#REF!</v>
      </c>
      <c r="F5" s="97"/>
      <c r="G5" s="89"/>
      <c r="H5" s="89"/>
      <c r="I5" s="98"/>
    </row>
    <row r="6" spans="1:9" ht="17.100000000000001" customHeight="1" thickBot="1" x14ac:dyDescent="0.25">
      <c r="A6" s="86"/>
      <c r="B6" s="50" t="s">
        <v>24</v>
      </c>
      <c r="C6" s="51">
        <v>55</v>
      </c>
      <c r="D6" s="52" t="e">
        <f>#REF!</f>
        <v>#REF!</v>
      </c>
      <c r="E6" s="53" t="e">
        <f t="shared" si="0"/>
        <v>#REF!</v>
      </c>
      <c r="F6" s="97"/>
      <c r="G6" s="89"/>
      <c r="H6" s="89"/>
      <c r="I6" s="98"/>
    </row>
    <row r="7" spans="1:9" ht="17.100000000000001" customHeight="1" thickBot="1" x14ac:dyDescent="0.25">
      <c r="A7" s="86"/>
      <c r="B7" s="50" t="s">
        <v>25</v>
      </c>
      <c r="C7" s="51">
        <v>5</v>
      </c>
      <c r="D7" s="52" t="e">
        <f>#REF!</f>
        <v>#REF!</v>
      </c>
      <c r="E7" s="53" t="e">
        <f t="shared" si="0"/>
        <v>#REF!</v>
      </c>
      <c r="F7" s="97"/>
      <c r="G7" s="89"/>
      <c r="H7" s="89"/>
      <c r="I7" s="98"/>
    </row>
    <row r="8" spans="1:9" ht="17.100000000000001" customHeight="1" thickBot="1" x14ac:dyDescent="0.25">
      <c r="A8" s="86"/>
      <c r="B8" s="50" t="s">
        <v>26</v>
      </c>
      <c r="C8" s="51">
        <v>30</v>
      </c>
      <c r="D8" s="52" t="e">
        <f>#REF!</f>
        <v>#REF!</v>
      </c>
      <c r="E8" s="53" t="e">
        <f t="shared" si="0"/>
        <v>#REF!</v>
      </c>
      <c r="F8" s="97"/>
      <c r="G8" s="89"/>
      <c r="H8" s="89"/>
      <c r="I8" s="98"/>
    </row>
    <row r="9" spans="1:9" ht="17.100000000000001" customHeight="1" thickBot="1" x14ac:dyDescent="0.25">
      <c r="A9" s="86"/>
      <c r="B9" s="50" t="s">
        <v>27</v>
      </c>
      <c r="C9" s="51">
        <v>5</v>
      </c>
      <c r="D9" s="52" t="e">
        <f>#REF!</f>
        <v>#REF!</v>
      </c>
      <c r="E9" s="53" t="e">
        <f t="shared" si="0"/>
        <v>#REF!</v>
      </c>
      <c r="F9" s="97"/>
      <c r="G9" s="89"/>
      <c r="H9" s="89"/>
      <c r="I9" s="98"/>
    </row>
    <row r="10" spans="1:9" ht="17.100000000000001" customHeight="1" thickBot="1" x14ac:dyDescent="0.25">
      <c r="A10" s="87"/>
      <c r="B10" s="54" t="s">
        <v>28</v>
      </c>
      <c r="C10" s="55">
        <v>15</v>
      </c>
      <c r="D10" s="56" t="e">
        <f>#REF!</f>
        <v>#REF!</v>
      </c>
      <c r="E10" s="57" t="e">
        <f t="shared" si="0"/>
        <v>#REF!</v>
      </c>
      <c r="F10" s="97"/>
      <c r="G10" s="89"/>
      <c r="H10" s="89"/>
      <c r="I10" s="98"/>
    </row>
    <row r="11" spans="1:9" ht="17.100000000000001" customHeight="1" thickBot="1" x14ac:dyDescent="0.3">
      <c r="A11" s="46"/>
      <c r="B11" s="54" t="s">
        <v>29</v>
      </c>
      <c r="C11" s="55">
        <f>(C4+C5+C6+C7+C8+C9+C10)/7</f>
        <v>27.142857142857142</v>
      </c>
      <c r="D11" s="56" t="e">
        <f>D4+D5+D6+D7+D8+D9+D10/7</f>
        <v>#REF!</v>
      </c>
      <c r="E11" s="57" t="e">
        <f>AVERAGE(E4:E10)</f>
        <v>#REF!</v>
      </c>
      <c r="F11" s="99"/>
      <c r="G11" s="100"/>
      <c r="H11" s="100"/>
      <c r="I11" s="101"/>
    </row>
    <row r="12" spans="1:9" ht="15.95" customHeight="1" thickBot="1" x14ac:dyDescent="0.3">
      <c r="A12" s="46"/>
      <c r="B12" s="102" t="s">
        <v>30</v>
      </c>
      <c r="C12" s="95"/>
      <c r="D12" s="95"/>
      <c r="E12" s="95"/>
      <c r="F12" s="8"/>
      <c r="G12" s="8"/>
      <c r="H12" s="8"/>
      <c r="I12" s="8"/>
    </row>
    <row r="13" spans="1:9" ht="33" customHeight="1" thickBot="1" x14ac:dyDescent="0.3">
      <c r="A13" s="46"/>
      <c r="B13" s="47" t="s">
        <v>31</v>
      </c>
      <c r="C13" s="48" t="s">
        <v>17</v>
      </c>
      <c r="D13" s="48" t="s">
        <v>18</v>
      </c>
      <c r="E13" s="49" t="s">
        <v>32</v>
      </c>
      <c r="F13" s="94" t="s">
        <v>20</v>
      </c>
      <c r="G13" s="95"/>
      <c r="H13" s="95"/>
      <c r="I13" s="96"/>
    </row>
    <row r="14" spans="1:9" ht="17.100000000000001" customHeight="1" thickBot="1" x14ac:dyDescent="0.25">
      <c r="A14" s="85" t="s">
        <v>21</v>
      </c>
      <c r="B14" s="50" t="s">
        <v>22</v>
      </c>
      <c r="C14" s="51">
        <v>70</v>
      </c>
      <c r="D14" s="52" t="e">
        <f>#REF!</f>
        <v>#REF!</v>
      </c>
      <c r="E14" s="53" t="e">
        <f>Tabla13[[#This Row],[Valor Obtenido]]/Tabla13[[#This Row],[Valor Máximo]]</f>
        <v>#REF!</v>
      </c>
      <c r="F14" s="97"/>
      <c r="G14" s="89"/>
      <c r="H14" s="89"/>
      <c r="I14" s="98"/>
    </row>
    <row r="15" spans="1:9" ht="17.100000000000001" customHeight="1" thickBot="1" x14ac:dyDescent="0.25">
      <c r="A15" s="86"/>
      <c r="B15" s="50" t="s">
        <v>23</v>
      </c>
      <c r="C15" s="51">
        <v>10</v>
      </c>
      <c r="D15" s="52" t="e">
        <f>#REF!</f>
        <v>#REF!</v>
      </c>
      <c r="E15" s="53" t="e">
        <f t="shared" ref="E15:E20" si="1">D15/C15</f>
        <v>#REF!</v>
      </c>
      <c r="F15" s="97"/>
      <c r="G15" s="89"/>
      <c r="H15" s="89"/>
      <c r="I15" s="98"/>
    </row>
    <row r="16" spans="1:9" ht="17.100000000000001" customHeight="1" thickBot="1" x14ac:dyDescent="0.25">
      <c r="A16" s="86"/>
      <c r="B16" s="50" t="s">
        <v>24</v>
      </c>
      <c r="C16" s="51">
        <v>55</v>
      </c>
      <c r="D16" s="52" t="e">
        <f>#REF!</f>
        <v>#REF!</v>
      </c>
      <c r="E16" s="53" t="e">
        <f t="shared" si="1"/>
        <v>#REF!</v>
      </c>
      <c r="F16" s="97"/>
      <c r="G16" s="89"/>
      <c r="H16" s="89"/>
      <c r="I16" s="98"/>
    </row>
    <row r="17" spans="1:9" ht="17.100000000000001" customHeight="1" thickBot="1" x14ac:dyDescent="0.25">
      <c r="A17" s="86"/>
      <c r="B17" s="50" t="s">
        <v>25</v>
      </c>
      <c r="C17" s="51">
        <v>5</v>
      </c>
      <c r="D17" s="52" t="e">
        <f>#REF!</f>
        <v>#REF!</v>
      </c>
      <c r="E17" s="53" t="e">
        <f t="shared" si="1"/>
        <v>#REF!</v>
      </c>
      <c r="F17" s="97"/>
      <c r="G17" s="89"/>
      <c r="H17" s="89"/>
      <c r="I17" s="98"/>
    </row>
    <row r="18" spans="1:9" ht="17.100000000000001" customHeight="1" thickBot="1" x14ac:dyDescent="0.25">
      <c r="A18" s="86"/>
      <c r="B18" s="50" t="s">
        <v>26</v>
      </c>
      <c r="C18" s="51">
        <v>30</v>
      </c>
      <c r="D18" s="52" t="e">
        <f>#REF!</f>
        <v>#REF!</v>
      </c>
      <c r="E18" s="53" t="e">
        <f t="shared" si="1"/>
        <v>#REF!</v>
      </c>
      <c r="F18" s="97"/>
      <c r="G18" s="89"/>
      <c r="H18" s="89"/>
      <c r="I18" s="98"/>
    </row>
    <row r="19" spans="1:9" ht="17.100000000000001" customHeight="1" thickBot="1" x14ac:dyDescent="0.25">
      <c r="A19" s="86"/>
      <c r="B19" s="50" t="s">
        <v>27</v>
      </c>
      <c r="C19" s="51">
        <v>5</v>
      </c>
      <c r="D19" s="52" t="e">
        <f>#REF!</f>
        <v>#REF!</v>
      </c>
      <c r="E19" s="53" t="e">
        <f t="shared" si="1"/>
        <v>#REF!</v>
      </c>
      <c r="F19" s="97"/>
      <c r="G19" s="89"/>
      <c r="H19" s="89"/>
      <c r="I19" s="98"/>
    </row>
    <row r="20" spans="1:9" ht="17.100000000000001" customHeight="1" thickBot="1" x14ac:dyDescent="0.25">
      <c r="A20" s="87"/>
      <c r="B20" s="54" t="s">
        <v>28</v>
      </c>
      <c r="C20" s="55">
        <v>15</v>
      </c>
      <c r="D20" s="56" t="e">
        <f>#REF!</f>
        <v>#REF!</v>
      </c>
      <c r="E20" s="57" t="e">
        <f t="shared" si="1"/>
        <v>#REF!</v>
      </c>
      <c r="F20" s="97"/>
      <c r="G20" s="89"/>
      <c r="H20" s="89"/>
      <c r="I20" s="98"/>
    </row>
    <row r="21" spans="1:9" ht="17.100000000000001" customHeight="1" thickBot="1" x14ac:dyDescent="0.3">
      <c r="A21" s="46"/>
      <c r="B21" s="54" t="s">
        <v>29</v>
      </c>
      <c r="C21" s="55">
        <f>(C14+C15+C16+C17+C18+C19+C20)/7</f>
        <v>27.142857142857142</v>
      </c>
      <c r="D21" s="56" t="e">
        <f>D14+D15+D16+D17+D18+D19+D20/7</f>
        <v>#REF!</v>
      </c>
      <c r="E21" s="57" t="e">
        <f>AVERAGE(E13:E20)</f>
        <v>#REF!</v>
      </c>
      <c r="F21" s="99"/>
      <c r="G21" s="100"/>
      <c r="H21" s="100"/>
      <c r="I21" s="101"/>
    </row>
    <row r="22" spans="1:9" ht="18.95" customHeight="1" x14ac:dyDescent="0.2">
      <c r="B22" s="9"/>
      <c r="C22" s="10"/>
      <c r="D22" s="11"/>
      <c r="E22" s="12"/>
      <c r="F22" s="8"/>
      <c r="G22" s="8"/>
      <c r="H22" s="8"/>
      <c r="I22" s="8"/>
    </row>
  </sheetData>
  <mergeCells count="9">
    <mergeCell ref="A4:A10"/>
    <mergeCell ref="A14:A20"/>
    <mergeCell ref="F1:G1"/>
    <mergeCell ref="C1:E1"/>
    <mergeCell ref="B2:E2"/>
    <mergeCell ref="F3:I11"/>
    <mergeCell ref="F13:I21"/>
    <mergeCell ref="B12:E12"/>
    <mergeCell ref="A1:B1"/>
  </mergeCells>
  <pageMargins left="0.7" right="0.7" top="0.75" bottom="0.75" header="0.3" footer="0.3"/>
  <pageSetup orientation="portrait" horizontalDpi="4294967294" verticalDpi="4294967294"/>
  <drawing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E413D-B88D-5A40-9FA0-ED13657585FB}">
  <dimension ref="A1:K400"/>
  <sheetViews>
    <sheetView tabSelected="1" workbookViewId="0">
      <selection activeCell="A373" sqref="A373:A400"/>
    </sheetView>
  </sheetViews>
  <sheetFormatPr baseColWidth="10" defaultColWidth="8.85546875" defaultRowHeight="15" x14ac:dyDescent="0.25"/>
  <cols>
    <col min="1" max="1" width="19.28515625" style="77" customWidth="1"/>
    <col min="2" max="2" width="24.28515625" style="77" customWidth="1"/>
    <col min="3" max="3" width="75.7109375" style="78" customWidth="1"/>
    <col min="4" max="4" width="19" style="78" customWidth="1"/>
    <col min="5" max="5" width="62.7109375" style="78" customWidth="1"/>
    <col min="6" max="6" width="14" style="72" customWidth="1"/>
    <col min="7" max="7" width="10.140625" style="72" customWidth="1"/>
    <col min="8" max="8" width="15" style="78" customWidth="1"/>
    <col min="9" max="9" width="14.140625" style="78" customWidth="1"/>
    <col min="10" max="10" width="8.85546875" style="78"/>
    <col min="11" max="11" width="38.85546875" style="78" customWidth="1"/>
    <col min="12" max="16384" width="8.85546875" style="71"/>
  </cols>
  <sheetData>
    <row r="1" spans="1:11" s="73" customFormat="1" ht="45" x14ac:dyDescent="0.25">
      <c r="A1" s="80" t="s">
        <v>34</v>
      </c>
      <c r="B1" s="80" t="s">
        <v>39</v>
      </c>
      <c r="C1" s="80" t="s">
        <v>938</v>
      </c>
      <c r="D1" s="80" t="s">
        <v>939</v>
      </c>
      <c r="E1" s="80" t="s">
        <v>978</v>
      </c>
      <c r="F1" s="79" t="s">
        <v>976</v>
      </c>
      <c r="G1" s="79" t="s">
        <v>977</v>
      </c>
      <c r="H1" s="80" t="s">
        <v>35</v>
      </c>
      <c r="I1" s="80" t="s">
        <v>36</v>
      </c>
      <c r="J1" s="80" t="s">
        <v>37</v>
      </c>
      <c r="K1" s="80" t="s">
        <v>38</v>
      </c>
    </row>
    <row r="2" spans="1:11" ht="270" customHeight="1" x14ac:dyDescent="0.25">
      <c r="A2" s="74" t="s">
        <v>22</v>
      </c>
      <c r="B2" s="74" t="s">
        <v>40</v>
      </c>
      <c r="C2" s="75" t="s">
        <v>940</v>
      </c>
      <c r="D2" s="75" t="s">
        <v>941</v>
      </c>
      <c r="E2" s="75" t="s">
        <v>942</v>
      </c>
      <c r="F2" s="76">
        <v>5</v>
      </c>
      <c r="G2" s="76">
        <v>0</v>
      </c>
      <c r="H2" s="75"/>
      <c r="I2" s="75"/>
      <c r="J2" s="75"/>
      <c r="K2" s="75"/>
    </row>
    <row r="3" spans="1:11" ht="270" customHeight="1" x14ac:dyDescent="0.25">
      <c r="A3" s="74" t="s">
        <v>22</v>
      </c>
      <c r="B3" s="74" t="s">
        <v>40</v>
      </c>
      <c r="C3" s="75" t="s">
        <v>943</v>
      </c>
      <c r="D3" s="75" t="s">
        <v>944</v>
      </c>
      <c r="E3" s="75" t="s">
        <v>945</v>
      </c>
      <c r="F3" s="76">
        <v>5</v>
      </c>
      <c r="G3" s="76">
        <v>0</v>
      </c>
      <c r="H3" s="75"/>
      <c r="I3" s="75"/>
      <c r="J3" s="75"/>
      <c r="K3" s="75"/>
    </row>
    <row r="4" spans="1:11" ht="270" customHeight="1" x14ac:dyDescent="0.25">
      <c r="A4" s="74" t="s">
        <v>22</v>
      </c>
      <c r="B4" s="74" t="s">
        <v>40</v>
      </c>
      <c r="C4" s="75" t="s">
        <v>946</v>
      </c>
      <c r="D4" s="75" t="s">
        <v>947</v>
      </c>
      <c r="E4" s="75" t="s">
        <v>948</v>
      </c>
      <c r="F4" s="76">
        <v>5</v>
      </c>
      <c r="G4" s="76">
        <v>0</v>
      </c>
      <c r="H4" s="75"/>
      <c r="I4" s="75"/>
      <c r="J4" s="75"/>
      <c r="K4" s="75"/>
    </row>
    <row r="5" spans="1:11" ht="270" customHeight="1" x14ac:dyDescent="0.25">
      <c r="A5" s="74" t="s">
        <v>22</v>
      </c>
      <c r="B5" s="74" t="s">
        <v>40</v>
      </c>
      <c r="C5" s="75" t="s">
        <v>949</v>
      </c>
      <c r="D5" s="75" t="s">
        <v>950</v>
      </c>
      <c r="E5" s="75" t="s">
        <v>951</v>
      </c>
      <c r="F5" s="76">
        <v>5</v>
      </c>
      <c r="G5" s="76">
        <v>0</v>
      </c>
      <c r="H5" s="75"/>
      <c r="I5" s="75"/>
      <c r="J5" s="75"/>
      <c r="K5" s="75"/>
    </row>
    <row r="6" spans="1:11" ht="408.95" customHeight="1" x14ac:dyDescent="0.25">
      <c r="A6" s="74" t="s">
        <v>22</v>
      </c>
      <c r="B6" s="74" t="s">
        <v>40</v>
      </c>
      <c r="C6" s="75" t="s">
        <v>42</v>
      </c>
      <c r="D6" s="75"/>
      <c r="E6" s="75" t="s">
        <v>43</v>
      </c>
      <c r="F6" s="76">
        <v>5</v>
      </c>
      <c r="G6" s="76">
        <v>0</v>
      </c>
      <c r="H6" s="75"/>
      <c r="I6" s="75"/>
      <c r="J6" s="75"/>
      <c r="K6" s="75"/>
    </row>
    <row r="7" spans="1:11" ht="270" customHeight="1" x14ac:dyDescent="0.25">
      <c r="A7" s="74" t="s">
        <v>22</v>
      </c>
      <c r="B7" s="74" t="s">
        <v>40</v>
      </c>
      <c r="C7" s="75" t="s">
        <v>44</v>
      </c>
      <c r="D7" s="75"/>
      <c r="E7" s="75" t="s">
        <v>45</v>
      </c>
      <c r="F7" s="76">
        <v>5</v>
      </c>
      <c r="G7" s="76">
        <v>0</v>
      </c>
      <c r="H7" s="75"/>
      <c r="I7" s="75"/>
      <c r="J7" s="75"/>
      <c r="K7" s="75"/>
    </row>
    <row r="8" spans="1:11" ht="270" customHeight="1" x14ac:dyDescent="0.25">
      <c r="A8" s="74" t="s">
        <v>22</v>
      </c>
      <c r="B8" s="74" t="s">
        <v>40</v>
      </c>
      <c r="C8" s="75" t="s">
        <v>952</v>
      </c>
      <c r="D8" s="75" t="s">
        <v>953</v>
      </c>
      <c r="E8" s="75" t="s">
        <v>954</v>
      </c>
      <c r="F8" s="76">
        <v>5</v>
      </c>
      <c r="G8" s="76">
        <v>0</v>
      </c>
      <c r="H8" s="75"/>
      <c r="I8" s="75"/>
      <c r="J8" s="75"/>
      <c r="K8" s="75"/>
    </row>
    <row r="9" spans="1:11" ht="270" customHeight="1" x14ac:dyDescent="0.25">
      <c r="A9" s="74" t="s">
        <v>22</v>
      </c>
      <c r="B9" s="74" t="s">
        <v>40</v>
      </c>
      <c r="C9" s="75" t="s">
        <v>46</v>
      </c>
      <c r="D9" s="75"/>
      <c r="E9" s="75" t="s">
        <v>47</v>
      </c>
      <c r="F9" s="76">
        <v>5</v>
      </c>
      <c r="G9" s="76">
        <v>0</v>
      </c>
      <c r="H9" s="75"/>
      <c r="I9" s="75"/>
      <c r="J9" s="75"/>
      <c r="K9" s="75"/>
    </row>
    <row r="10" spans="1:11" ht="270" customHeight="1" x14ac:dyDescent="0.25">
      <c r="A10" s="74" t="s">
        <v>22</v>
      </c>
      <c r="B10" s="74" t="s">
        <v>40</v>
      </c>
      <c r="C10" s="75" t="s">
        <v>48</v>
      </c>
      <c r="D10" s="75"/>
      <c r="E10" s="75" t="s">
        <v>49</v>
      </c>
      <c r="F10" s="76">
        <v>5</v>
      </c>
      <c r="G10" s="76">
        <v>0</v>
      </c>
      <c r="H10" s="75"/>
      <c r="I10" s="75"/>
      <c r="J10" s="75"/>
      <c r="K10" s="75"/>
    </row>
    <row r="11" spans="1:11" ht="270" customHeight="1" x14ac:dyDescent="0.25">
      <c r="A11" s="74" t="s">
        <v>22</v>
      </c>
      <c r="B11" s="74" t="s">
        <v>40</v>
      </c>
      <c r="C11" s="75" t="s">
        <v>50</v>
      </c>
      <c r="D11" s="75"/>
      <c r="E11" s="75" t="s">
        <v>51</v>
      </c>
      <c r="F11" s="76">
        <v>5</v>
      </c>
      <c r="G11" s="76">
        <v>0</v>
      </c>
      <c r="H11" s="75"/>
      <c r="I11" s="75"/>
      <c r="J11" s="75"/>
      <c r="K11" s="75"/>
    </row>
    <row r="12" spans="1:11" ht="270" customHeight="1" x14ac:dyDescent="0.25">
      <c r="A12" s="74" t="s">
        <v>22</v>
      </c>
      <c r="B12" s="74" t="s">
        <v>40</v>
      </c>
      <c r="C12" s="75" t="s">
        <v>52</v>
      </c>
      <c r="D12" s="75"/>
      <c r="E12" s="75" t="s">
        <v>53</v>
      </c>
      <c r="F12" s="76">
        <v>5</v>
      </c>
      <c r="G12" s="76">
        <v>0</v>
      </c>
      <c r="H12" s="75"/>
      <c r="I12" s="75"/>
      <c r="J12" s="75"/>
      <c r="K12" s="75"/>
    </row>
    <row r="13" spans="1:11" ht="270" customHeight="1" x14ac:dyDescent="0.25">
      <c r="A13" s="74" t="s">
        <v>22</v>
      </c>
      <c r="B13" s="74" t="s">
        <v>40</v>
      </c>
      <c r="C13" s="75" t="s">
        <v>54</v>
      </c>
      <c r="D13" s="75"/>
      <c r="E13" s="75" t="s">
        <v>55</v>
      </c>
      <c r="F13" s="76">
        <v>5</v>
      </c>
      <c r="G13" s="76">
        <v>0</v>
      </c>
      <c r="H13" s="75"/>
      <c r="I13" s="75"/>
      <c r="J13" s="75"/>
      <c r="K13" s="75"/>
    </row>
    <row r="14" spans="1:11" ht="270" customHeight="1" x14ac:dyDescent="0.25">
      <c r="A14" s="74" t="s">
        <v>22</v>
      </c>
      <c r="B14" s="74" t="s">
        <v>40</v>
      </c>
      <c r="C14" s="75" t="s">
        <v>955</v>
      </c>
      <c r="D14" s="75" t="s">
        <v>956</v>
      </c>
      <c r="E14" s="75" t="s">
        <v>957</v>
      </c>
      <c r="F14" s="76">
        <v>5</v>
      </c>
      <c r="G14" s="76">
        <v>0</v>
      </c>
      <c r="H14" s="75"/>
      <c r="I14" s="75"/>
      <c r="J14" s="75"/>
      <c r="K14" s="75"/>
    </row>
    <row r="15" spans="1:11" ht="270" customHeight="1" x14ac:dyDescent="0.25">
      <c r="A15" s="74" t="s">
        <v>22</v>
      </c>
      <c r="B15" s="74" t="s">
        <v>40</v>
      </c>
      <c r="C15" s="75" t="s">
        <v>56</v>
      </c>
      <c r="D15" s="75"/>
      <c r="E15" s="75" t="s">
        <v>57</v>
      </c>
      <c r="F15" s="76">
        <v>5</v>
      </c>
      <c r="G15" s="76">
        <v>0</v>
      </c>
      <c r="H15" s="75"/>
      <c r="I15" s="75"/>
      <c r="J15" s="75"/>
      <c r="K15" s="75"/>
    </row>
    <row r="16" spans="1:11" ht="270" customHeight="1" x14ac:dyDescent="0.25">
      <c r="A16" s="74" t="s">
        <v>22</v>
      </c>
      <c r="B16" s="74" t="s">
        <v>40</v>
      </c>
      <c r="C16" s="75" t="s">
        <v>58</v>
      </c>
      <c r="D16" s="75"/>
      <c r="E16" s="75" t="s">
        <v>59</v>
      </c>
      <c r="F16" s="76">
        <v>5</v>
      </c>
      <c r="G16" s="76">
        <v>0</v>
      </c>
      <c r="H16" s="75"/>
      <c r="I16" s="75"/>
      <c r="J16" s="75"/>
      <c r="K16" s="75"/>
    </row>
    <row r="17" spans="1:11" ht="270" customHeight="1" x14ac:dyDescent="0.25">
      <c r="A17" s="74" t="s">
        <v>22</v>
      </c>
      <c r="B17" s="74" t="s">
        <v>40</v>
      </c>
      <c r="C17" s="75" t="s">
        <v>60</v>
      </c>
      <c r="D17" s="75"/>
      <c r="E17" s="75" t="s">
        <v>61</v>
      </c>
      <c r="F17" s="76">
        <v>5</v>
      </c>
      <c r="G17" s="76">
        <v>0</v>
      </c>
      <c r="H17" s="75"/>
      <c r="I17" s="75"/>
      <c r="J17" s="75"/>
      <c r="K17" s="75"/>
    </row>
    <row r="18" spans="1:11" ht="270" customHeight="1" x14ac:dyDescent="0.25">
      <c r="A18" s="74" t="s">
        <v>22</v>
      </c>
      <c r="B18" s="74" t="s">
        <v>40</v>
      </c>
      <c r="C18" s="75" t="s">
        <v>62</v>
      </c>
      <c r="D18" s="75"/>
      <c r="E18" s="75" t="s">
        <v>63</v>
      </c>
      <c r="F18" s="76">
        <v>5</v>
      </c>
      <c r="G18" s="76">
        <v>0</v>
      </c>
      <c r="H18" s="75"/>
      <c r="I18" s="75"/>
      <c r="J18" s="75"/>
      <c r="K18" s="75"/>
    </row>
    <row r="19" spans="1:11" ht="270" customHeight="1" x14ac:dyDescent="0.25">
      <c r="A19" s="74" t="s">
        <v>22</v>
      </c>
      <c r="B19" s="74" t="s">
        <v>40</v>
      </c>
      <c r="C19" s="75" t="s">
        <v>64</v>
      </c>
      <c r="D19" s="75"/>
      <c r="E19" s="75" t="s">
        <v>65</v>
      </c>
      <c r="F19" s="76">
        <v>5</v>
      </c>
      <c r="G19" s="76">
        <v>0</v>
      </c>
      <c r="H19" s="75"/>
      <c r="I19" s="75"/>
      <c r="J19" s="75"/>
      <c r="K19" s="75"/>
    </row>
    <row r="20" spans="1:11" ht="270" customHeight="1" x14ac:dyDescent="0.25">
      <c r="A20" s="74" t="s">
        <v>22</v>
      </c>
      <c r="B20" s="74" t="s">
        <v>40</v>
      </c>
      <c r="C20" s="75" t="s">
        <v>66</v>
      </c>
      <c r="D20" s="75"/>
      <c r="E20" s="75" t="s">
        <v>67</v>
      </c>
      <c r="F20" s="76">
        <v>5</v>
      </c>
      <c r="G20" s="76">
        <v>0</v>
      </c>
      <c r="H20" s="75"/>
      <c r="I20" s="75"/>
      <c r="J20" s="75"/>
      <c r="K20" s="75"/>
    </row>
    <row r="21" spans="1:11" ht="270" customHeight="1" x14ac:dyDescent="0.25">
      <c r="A21" s="74" t="s">
        <v>22</v>
      </c>
      <c r="B21" s="74" t="s">
        <v>40</v>
      </c>
      <c r="C21" s="75" t="s">
        <v>958</v>
      </c>
      <c r="D21" s="75" t="s">
        <v>959</v>
      </c>
      <c r="E21" s="75" t="s">
        <v>960</v>
      </c>
      <c r="F21" s="76">
        <v>5</v>
      </c>
      <c r="G21" s="76">
        <v>0</v>
      </c>
      <c r="H21" s="75"/>
      <c r="I21" s="75"/>
      <c r="J21" s="75"/>
      <c r="K21" s="75"/>
    </row>
    <row r="22" spans="1:11" ht="270" customHeight="1" x14ac:dyDescent="0.25">
      <c r="A22" s="74" t="s">
        <v>22</v>
      </c>
      <c r="B22" s="74" t="s">
        <v>40</v>
      </c>
      <c r="C22" s="75" t="s">
        <v>68</v>
      </c>
      <c r="D22" s="75"/>
      <c r="E22" s="75" t="s">
        <v>69</v>
      </c>
      <c r="F22" s="76">
        <v>5</v>
      </c>
      <c r="G22" s="76">
        <v>0</v>
      </c>
      <c r="H22" s="75"/>
      <c r="I22" s="75"/>
      <c r="J22" s="75"/>
      <c r="K22" s="75"/>
    </row>
    <row r="23" spans="1:11" ht="270" customHeight="1" x14ac:dyDescent="0.25">
      <c r="A23" s="74" t="s">
        <v>22</v>
      </c>
      <c r="B23" s="74" t="s">
        <v>40</v>
      </c>
      <c r="C23" s="75" t="s">
        <v>70</v>
      </c>
      <c r="D23" s="75"/>
      <c r="E23" s="75" t="s">
        <v>71</v>
      </c>
      <c r="F23" s="76">
        <v>5</v>
      </c>
      <c r="G23" s="76">
        <v>0</v>
      </c>
      <c r="H23" s="75"/>
      <c r="I23" s="75"/>
      <c r="J23" s="75"/>
      <c r="K23" s="75"/>
    </row>
    <row r="24" spans="1:11" ht="270" customHeight="1" x14ac:dyDescent="0.25">
      <c r="A24" s="74" t="s">
        <v>22</v>
      </c>
      <c r="B24" s="74" t="s">
        <v>40</v>
      </c>
      <c r="C24" s="75" t="s">
        <v>72</v>
      </c>
      <c r="D24" s="75"/>
      <c r="E24" s="75" t="s">
        <v>73</v>
      </c>
      <c r="F24" s="76">
        <v>5</v>
      </c>
      <c r="G24" s="76">
        <v>0</v>
      </c>
      <c r="H24" s="75"/>
      <c r="I24" s="75"/>
      <c r="J24" s="75"/>
      <c r="K24" s="75"/>
    </row>
    <row r="25" spans="1:11" ht="270" customHeight="1" x14ac:dyDescent="0.25">
      <c r="A25" s="74" t="s">
        <v>22</v>
      </c>
      <c r="B25" s="74" t="s">
        <v>40</v>
      </c>
      <c r="C25" s="75" t="s">
        <v>961</v>
      </c>
      <c r="D25" s="75" t="s">
        <v>962</v>
      </c>
      <c r="E25" s="75" t="s">
        <v>963</v>
      </c>
      <c r="F25" s="76">
        <v>5</v>
      </c>
      <c r="G25" s="76">
        <v>0</v>
      </c>
      <c r="H25" s="75"/>
      <c r="I25" s="75"/>
      <c r="J25" s="75"/>
      <c r="K25" s="75"/>
    </row>
    <row r="26" spans="1:11" ht="270" customHeight="1" x14ac:dyDescent="0.25">
      <c r="A26" s="74" t="s">
        <v>22</v>
      </c>
      <c r="B26" s="74" t="s">
        <v>40</v>
      </c>
      <c r="C26" s="75" t="s">
        <v>964</v>
      </c>
      <c r="D26" s="75" t="s">
        <v>965</v>
      </c>
      <c r="E26" s="75" t="s">
        <v>966</v>
      </c>
      <c r="F26" s="76">
        <v>5</v>
      </c>
      <c r="G26" s="76">
        <v>0</v>
      </c>
      <c r="H26" s="75"/>
      <c r="I26" s="75"/>
      <c r="J26" s="75"/>
      <c r="K26" s="75"/>
    </row>
    <row r="27" spans="1:11" ht="270" customHeight="1" x14ac:dyDescent="0.25">
      <c r="A27" s="74" t="s">
        <v>22</v>
      </c>
      <c r="B27" s="74" t="s">
        <v>40</v>
      </c>
      <c r="C27" s="75" t="s">
        <v>74</v>
      </c>
      <c r="D27" s="75"/>
      <c r="E27" s="75" t="s">
        <v>75</v>
      </c>
      <c r="F27" s="76">
        <v>5</v>
      </c>
      <c r="G27" s="76">
        <v>0</v>
      </c>
      <c r="H27" s="75"/>
      <c r="I27" s="75"/>
      <c r="J27" s="75"/>
      <c r="K27" s="75"/>
    </row>
    <row r="28" spans="1:11" ht="270" customHeight="1" x14ac:dyDescent="0.25">
      <c r="A28" s="74" t="s">
        <v>22</v>
      </c>
      <c r="B28" s="74" t="s">
        <v>40</v>
      </c>
      <c r="C28" s="75" t="s">
        <v>76</v>
      </c>
      <c r="D28" s="75"/>
      <c r="E28" s="75" t="s">
        <v>77</v>
      </c>
      <c r="F28" s="76">
        <v>5</v>
      </c>
      <c r="G28" s="76">
        <v>0</v>
      </c>
      <c r="H28" s="75"/>
      <c r="I28" s="75"/>
      <c r="J28" s="75"/>
      <c r="K28" s="75"/>
    </row>
    <row r="29" spans="1:11" ht="270" customHeight="1" x14ac:dyDescent="0.25">
      <c r="A29" s="74" t="s">
        <v>22</v>
      </c>
      <c r="B29" s="74" t="s">
        <v>40</v>
      </c>
      <c r="C29" s="75" t="s">
        <v>78</v>
      </c>
      <c r="D29" s="75"/>
      <c r="E29" s="75" t="s">
        <v>79</v>
      </c>
      <c r="F29" s="76">
        <v>5</v>
      </c>
      <c r="G29" s="76">
        <v>0</v>
      </c>
      <c r="H29" s="75"/>
      <c r="I29" s="75"/>
      <c r="J29" s="75"/>
      <c r="K29" s="75"/>
    </row>
    <row r="30" spans="1:11" ht="270" customHeight="1" x14ac:dyDescent="0.25">
      <c r="A30" s="74" t="s">
        <v>22</v>
      </c>
      <c r="B30" s="74" t="s">
        <v>40</v>
      </c>
      <c r="C30" s="75" t="s">
        <v>80</v>
      </c>
      <c r="D30" s="75"/>
      <c r="E30" s="75" t="s">
        <v>81</v>
      </c>
      <c r="F30" s="76">
        <v>5</v>
      </c>
      <c r="G30" s="76">
        <v>0</v>
      </c>
      <c r="H30" s="75"/>
      <c r="I30" s="75"/>
      <c r="J30" s="75"/>
      <c r="K30" s="75"/>
    </row>
    <row r="31" spans="1:11" ht="270" customHeight="1" x14ac:dyDescent="0.25">
      <c r="A31" s="74" t="s">
        <v>22</v>
      </c>
      <c r="B31" s="74" t="s">
        <v>40</v>
      </c>
      <c r="C31" s="75" t="s">
        <v>964</v>
      </c>
      <c r="D31" s="75" t="s">
        <v>965</v>
      </c>
      <c r="E31" s="75" t="s">
        <v>966</v>
      </c>
      <c r="F31" s="76">
        <v>5</v>
      </c>
      <c r="G31" s="76">
        <v>0</v>
      </c>
      <c r="H31" s="75"/>
      <c r="I31" s="75"/>
      <c r="J31" s="75"/>
      <c r="K31" s="75"/>
    </row>
    <row r="32" spans="1:11" ht="270" customHeight="1" x14ac:dyDescent="0.25">
      <c r="A32" s="74" t="s">
        <v>22</v>
      </c>
      <c r="B32" s="74" t="s">
        <v>40</v>
      </c>
      <c r="C32" s="75" t="s">
        <v>82</v>
      </c>
      <c r="D32" s="75"/>
      <c r="E32" s="75" t="s">
        <v>83</v>
      </c>
      <c r="F32" s="76">
        <v>5</v>
      </c>
      <c r="G32" s="76">
        <v>0</v>
      </c>
      <c r="H32" s="75"/>
      <c r="I32" s="75"/>
      <c r="J32" s="75"/>
      <c r="K32" s="75"/>
    </row>
    <row r="33" spans="1:11" ht="270" customHeight="1" x14ac:dyDescent="0.25">
      <c r="A33" s="74" t="s">
        <v>22</v>
      </c>
      <c r="B33" s="74" t="s">
        <v>40</v>
      </c>
      <c r="C33" s="75" t="s">
        <v>84</v>
      </c>
      <c r="D33" s="75"/>
      <c r="E33" s="75" t="s">
        <v>85</v>
      </c>
      <c r="F33" s="76">
        <v>5</v>
      </c>
      <c r="G33" s="76">
        <v>0</v>
      </c>
      <c r="H33" s="75"/>
      <c r="I33" s="75"/>
      <c r="J33" s="75"/>
      <c r="K33" s="75"/>
    </row>
    <row r="34" spans="1:11" ht="270" customHeight="1" x14ac:dyDescent="0.25">
      <c r="A34" s="74" t="s">
        <v>22</v>
      </c>
      <c r="B34" s="74" t="s">
        <v>40</v>
      </c>
      <c r="C34" s="75" t="s">
        <v>76</v>
      </c>
      <c r="D34" s="75"/>
      <c r="E34" s="75" t="s">
        <v>77</v>
      </c>
      <c r="F34" s="76">
        <v>5</v>
      </c>
      <c r="G34" s="76">
        <v>0</v>
      </c>
      <c r="H34" s="75"/>
      <c r="I34" s="75"/>
      <c r="J34" s="75"/>
      <c r="K34" s="75"/>
    </row>
    <row r="35" spans="1:11" ht="270" customHeight="1" x14ac:dyDescent="0.25">
      <c r="A35" s="74" t="s">
        <v>22</v>
      </c>
      <c r="B35" s="74" t="s">
        <v>40</v>
      </c>
      <c r="C35" s="75" t="s">
        <v>78</v>
      </c>
      <c r="D35" s="75"/>
      <c r="E35" s="75" t="s">
        <v>79</v>
      </c>
      <c r="F35" s="76">
        <v>5</v>
      </c>
      <c r="G35" s="76">
        <v>0</v>
      </c>
      <c r="H35" s="75"/>
      <c r="I35" s="75"/>
      <c r="J35" s="75"/>
      <c r="K35" s="75"/>
    </row>
    <row r="36" spans="1:11" ht="270" customHeight="1" x14ac:dyDescent="0.25">
      <c r="A36" s="74" t="s">
        <v>22</v>
      </c>
      <c r="B36" s="74" t="s">
        <v>40</v>
      </c>
      <c r="C36" s="75" t="s">
        <v>86</v>
      </c>
      <c r="D36" s="75"/>
      <c r="E36" s="75" t="s">
        <v>87</v>
      </c>
      <c r="F36" s="76">
        <v>5</v>
      </c>
      <c r="G36" s="76">
        <v>0</v>
      </c>
      <c r="H36" s="75"/>
      <c r="I36" s="75"/>
      <c r="J36" s="75"/>
      <c r="K36" s="75"/>
    </row>
    <row r="37" spans="1:11" ht="270" customHeight="1" x14ac:dyDescent="0.25">
      <c r="A37" s="74" t="s">
        <v>22</v>
      </c>
      <c r="B37" s="74" t="s">
        <v>40</v>
      </c>
      <c r="C37" s="75" t="s">
        <v>88</v>
      </c>
      <c r="D37" s="75"/>
      <c r="E37" s="75" t="s">
        <v>89</v>
      </c>
      <c r="F37" s="76">
        <v>5</v>
      </c>
      <c r="G37" s="76">
        <v>0</v>
      </c>
      <c r="H37" s="75"/>
      <c r="I37" s="75"/>
      <c r="J37" s="75"/>
      <c r="K37" s="75"/>
    </row>
    <row r="38" spans="1:11" ht="270" customHeight="1" x14ac:dyDescent="0.25">
      <c r="A38" s="74" t="s">
        <v>22</v>
      </c>
      <c r="B38" s="74" t="s">
        <v>40</v>
      </c>
      <c r="C38" s="75" t="s">
        <v>90</v>
      </c>
      <c r="D38" s="75"/>
      <c r="E38" s="75" t="s">
        <v>91</v>
      </c>
      <c r="F38" s="76">
        <v>5</v>
      </c>
      <c r="G38" s="76">
        <v>0</v>
      </c>
      <c r="H38" s="75"/>
      <c r="I38" s="75"/>
      <c r="J38" s="75"/>
      <c r="K38" s="75"/>
    </row>
    <row r="39" spans="1:11" ht="270" customHeight="1" x14ac:dyDescent="0.25">
      <c r="A39" s="74" t="s">
        <v>22</v>
      </c>
      <c r="B39" s="74" t="s">
        <v>40</v>
      </c>
      <c r="C39" s="75" t="s">
        <v>92</v>
      </c>
      <c r="D39" s="75"/>
      <c r="E39" s="75" t="s">
        <v>93</v>
      </c>
      <c r="F39" s="76">
        <v>5</v>
      </c>
      <c r="G39" s="76">
        <v>0</v>
      </c>
      <c r="H39" s="75"/>
      <c r="I39" s="75"/>
      <c r="J39" s="75"/>
      <c r="K39" s="75"/>
    </row>
    <row r="40" spans="1:11" ht="270" customHeight="1" x14ac:dyDescent="0.25">
      <c r="A40" s="74" t="s">
        <v>22</v>
      </c>
      <c r="B40" s="74" t="s">
        <v>40</v>
      </c>
      <c r="C40" s="75" t="s">
        <v>94</v>
      </c>
      <c r="D40" s="75"/>
      <c r="E40" s="75" t="s">
        <v>95</v>
      </c>
      <c r="F40" s="76">
        <v>5</v>
      </c>
      <c r="G40" s="76">
        <v>0</v>
      </c>
      <c r="H40" s="75"/>
      <c r="I40" s="75"/>
      <c r="J40" s="75"/>
      <c r="K40" s="75"/>
    </row>
    <row r="41" spans="1:11" ht="270" customHeight="1" x14ac:dyDescent="0.25">
      <c r="A41" s="74" t="s">
        <v>22</v>
      </c>
      <c r="B41" s="74" t="s">
        <v>40</v>
      </c>
      <c r="C41" s="75" t="s">
        <v>96</v>
      </c>
      <c r="D41" s="75"/>
      <c r="E41" s="75" t="s">
        <v>97</v>
      </c>
      <c r="F41" s="76">
        <v>5</v>
      </c>
      <c r="G41" s="76">
        <v>0</v>
      </c>
      <c r="H41" s="75"/>
      <c r="I41" s="75"/>
      <c r="J41" s="75"/>
      <c r="K41" s="75"/>
    </row>
    <row r="42" spans="1:11" ht="270" customHeight="1" x14ac:dyDescent="0.25">
      <c r="A42" s="74" t="s">
        <v>22</v>
      </c>
      <c r="B42" s="74" t="s">
        <v>40</v>
      </c>
      <c r="C42" s="75" t="s">
        <v>967</v>
      </c>
      <c r="D42" s="75" t="s">
        <v>968</v>
      </c>
      <c r="E42" s="75" t="s">
        <v>969</v>
      </c>
      <c r="F42" s="76">
        <v>5</v>
      </c>
      <c r="G42" s="76">
        <v>0</v>
      </c>
      <c r="H42" s="75"/>
      <c r="I42" s="75"/>
      <c r="J42" s="75"/>
      <c r="K42" s="75"/>
    </row>
    <row r="43" spans="1:11" ht="270" customHeight="1" x14ac:dyDescent="0.25">
      <c r="A43" s="74" t="s">
        <v>22</v>
      </c>
      <c r="B43" s="74" t="s">
        <v>40</v>
      </c>
      <c r="C43" s="75" t="s">
        <v>970</v>
      </c>
      <c r="D43" s="75" t="s">
        <v>971</v>
      </c>
      <c r="E43" s="75" t="s">
        <v>972</v>
      </c>
      <c r="F43" s="76">
        <v>5</v>
      </c>
      <c r="G43" s="76">
        <v>0</v>
      </c>
      <c r="H43" s="75"/>
      <c r="I43" s="75"/>
      <c r="J43" s="75"/>
      <c r="K43" s="75"/>
    </row>
    <row r="44" spans="1:11" ht="270" customHeight="1" x14ac:dyDescent="0.25">
      <c r="A44" s="74" t="s">
        <v>22</v>
      </c>
      <c r="B44" s="74" t="s">
        <v>40</v>
      </c>
      <c r="C44" s="75" t="s">
        <v>98</v>
      </c>
      <c r="D44" s="75"/>
      <c r="E44" s="75" t="s">
        <v>99</v>
      </c>
      <c r="F44" s="76">
        <v>5</v>
      </c>
      <c r="G44" s="76">
        <v>0</v>
      </c>
      <c r="H44" s="75"/>
      <c r="I44" s="75"/>
      <c r="J44" s="75"/>
      <c r="K44" s="75"/>
    </row>
    <row r="45" spans="1:11" ht="270" customHeight="1" x14ac:dyDescent="0.25">
      <c r="A45" s="74" t="s">
        <v>22</v>
      </c>
      <c r="B45" s="74" t="s">
        <v>40</v>
      </c>
      <c r="C45" s="75" t="s">
        <v>100</v>
      </c>
      <c r="D45" s="75"/>
      <c r="E45" s="75" t="s">
        <v>101</v>
      </c>
      <c r="F45" s="76">
        <v>5</v>
      </c>
      <c r="G45" s="76">
        <v>0</v>
      </c>
      <c r="H45" s="75"/>
      <c r="I45" s="75"/>
      <c r="J45" s="75"/>
      <c r="K45" s="75"/>
    </row>
    <row r="46" spans="1:11" ht="270" customHeight="1" x14ac:dyDescent="0.25">
      <c r="A46" s="74" t="s">
        <v>22</v>
      </c>
      <c r="B46" s="74" t="s">
        <v>40</v>
      </c>
      <c r="C46" s="75" t="s">
        <v>102</v>
      </c>
      <c r="D46" s="75"/>
      <c r="E46" s="75" t="s">
        <v>103</v>
      </c>
      <c r="F46" s="76">
        <v>5</v>
      </c>
      <c r="G46" s="76">
        <v>0</v>
      </c>
      <c r="H46" s="75"/>
      <c r="I46" s="75"/>
      <c r="J46" s="75"/>
      <c r="K46" s="75"/>
    </row>
    <row r="47" spans="1:11" ht="270" customHeight="1" x14ac:dyDescent="0.25">
      <c r="A47" s="74" t="s">
        <v>22</v>
      </c>
      <c r="B47" s="74" t="s">
        <v>40</v>
      </c>
      <c r="C47" s="75" t="s">
        <v>104</v>
      </c>
      <c r="D47" s="75"/>
      <c r="E47" s="75" t="s">
        <v>105</v>
      </c>
      <c r="F47" s="76">
        <v>5</v>
      </c>
      <c r="G47" s="76">
        <v>0</v>
      </c>
      <c r="H47" s="75"/>
      <c r="I47" s="75"/>
      <c r="J47" s="75"/>
      <c r="K47" s="75"/>
    </row>
    <row r="48" spans="1:11" ht="270" customHeight="1" x14ac:dyDescent="0.25">
      <c r="A48" s="74" t="s">
        <v>22</v>
      </c>
      <c r="B48" s="74" t="s">
        <v>106</v>
      </c>
      <c r="C48" s="75" t="s">
        <v>107</v>
      </c>
      <c r="D48" s="75"/>
      <c r="E48" s="75" t="s">
        <v>108</v>
      </c>
      <c r="F48" s="76">
        <v>4.5</v>
      </c>
      <c r="G48" s="76">
        <v>0</v>
      </c>
      <c r="H48" s="75" t="s">
        <v>109</v>
      </c>
      <c r="I48" s="75" t="s">
        <v>110</v>
      </c>
      <c r="J48" s="75">
        <v>2025</v>
      </c>
      <c r="K48" s="75"/>
    </row>
    <row r="49" spans="1:11" ht="270" customHeight="1" x14ac:dyDescent="0.25">
      <c r="A49" s="74" t="s">
        <v>22</v>
      </c>
      <c r="B49" s="74" t="s">
        <v>106</v>
      </c>
      <c r="C49" s="75" t="s">
        <v>111</v>
      </c>
      <c r="D49" s="75"/>
      <c r="E49" s="75" t="s">
        <v>112</v>
      </c>
      <c r="F49" s="76">
        <v>4.5</v>
      </c>
      <c r="G49" s="76">
        <v>0</v>
      </c>
      <c r="H49" s="75" t="s">
        <v>109</v>
      </c>
      <c r="I49" s="75" t="s">
        <v>110</v>
      </c>
      <c r="J49" s="75">
        <v>2025</v>
      </c>
      <c r="K49" s="75"/>
    </row>
    <row r="50" spans="1:11" ht="270" customHeight="1" x14ac:dyDescent="0.25">
      <c r="A50" s="74" t="s">
        <v>22</v>
      </c>
      <c r="B50" s="74" t="s">
        <v>106</v>
      </c>
      <c r="C50" s="75" t="s">
        <v>949</v>
      </c>
      <c r="D50" s="75" t="s">
        <v>950</v>
      </c>
      <c r="E50" s="75" t="s">
        <v>951</v>
      </c>
      <c r="F50" s="76">
        <v>4.5</v>
      </c>
      <c r="G50" s="76">
        <v>0</v>
      </c>
      <c r="H50" s="75" t="s">
        <v>109</v>
      </c>
      <c r="I50" s="75" t="s">
        <v>110</v>
      </c>
      <c r="J50" s="75">
        <v>2025</v>
      </c>
      <c r="K50" s="75"/>
    </row>
    <row r="51" spans="1:11" ht="270" customHeight="1" x14ac:dyDescent="0.25">
      <c r="A51" s="74" t="s">
        <v>22</v>
      </c>
      <c r="B51" s="74" t="s">
        <v>106</v>
      </c>
      <c r="C51" s="75" t="s">
        <v>949</v>
      </c>
      <c r="D51" s="75" t="s">
        <v>950</v>
      </c>
      <c r="E51" s="75" t="s">
        <v>951</v>
      </c>
      <c r="F51" s="76">
        <v>4.5</v>
      </c>
      <c r="G51" s="76">
        <v>0</v>
      </c>
      <c r="H51" s="75" t="s">
        <v>109</v>
      </c>
      <c r="I51" s="75" t="s">
        <v>110</v>
      </c>
      <c r="J51" s="75">
        <v>2025</v>
      </c>
      <c r="K51" s="75"/>
    </row>
    <row r="52" spans="1:11" ht="270" customHeight="1" x14ac:dyDescent="0.25">
      <c r="A52" s="74" t="s">
        <v>22</v>
      </c>
      <c r="B52" s="74" t="s">
        <v>106</v>
      </c>
      <c r="C52" s="75" t="s">
        <v>949</v>
      </c>
      <c r="D52" s="75" t="s">
        <v>950</v>
      </c>
      <c r="E52" s="75" t="s">
        <v>951</v>
      </c>
      <c r="F52" s="76">
        <v>4.5</v>
      </c>
      <c r="G52" s="76">
        <v>0</v>
      </c>
      <c r="H52" s="75" t="s">
        <v>109</v>
      </c>
      <c r="I52" s="75" t="s">
        <v>110</v>
      </c>
      <c r="J52" s="75">
        <v>2025</v>
      </c>
      <c r="K52" s="75"/>
    </row>
    <row r="53" spans="1:11" ht="270" customHeight="1" x14ac:dyDescent="0.25">
      <c r="A53" s="74" t="s">
        <v>22</v>
      </c>
      <c r="B53" s="74" t="s">
        <v>106</v>
      </c>
      <c r="C53" s="75" t="s">
        <v>949</v>
      </c>
      <c r="D53" s="75" t="s">
        <v>950</v>
      </c>
      <c r="E53" s="75" t="s">
        <v>951</v>
      </c>
      <c r="F53" s="76">
        <v>4.5</v>
      </c>
      <c r="G53" s="76">
        <v>0</v>
      </c>
      <c r="H53" s="75" t="s">
        <v>109</v>
      </c>
      <c r="I53" s="75" t="s">
        <v>110</v>
      </c>
      <c r="J53" s="75">
        <v>2025</v>
      </c>
      <c r="K53" s="75"/>
    </row>
    <row r="54" spans="1:11" ht="270" customHeight="1" x14ac:dyDescent="0.25">
      <c r="A54" s="74" t="s">
        <v>22</v>
      </c>
      <c r="B54" s="74" t="s">
        <v>106</v>
      </c>
      <c r="C54" s="75" t="s">
        <v>949</v>
      </c>
      <c r="D54" s="75" t="s">
        <v>950</v>
      </c>
      <c r="E54" s="75" t="s">
        <v>951</v>
      </c>
      <c r="F54" s="76">
        <v>4.5</v>
      </c>
      <c r="G54" s="76">
        <v>0</v>
      </c>
      <c r="H54" s="75" t="s">
        <v>109</v>
      </c>
      <c r="I54" s="75" t="s">
        <v>110</v>
      </c>
      <c r="J54" s="75">
        <v>2025</v>
      </c>
      <c r="K54" s="75"/>
    </row>
    <row r="55" spans="1:11" ht="270" customHeight="1" x14ac:dyDescent="0.25">
      <c r="A55" s="74" t="s">
        <v>22</v>
      </c>
      <c r="B55" s="74" t="s">
        <v>106</v>
      </c>
      <c r="C55" s="75" t="s">
        <v>113</v>
      </c>
      <c r="D55" s="75"/>
      <c r="E55" s="75" t="s">
        <v>114</v>
      </c>
      <c r="F55" s="76">
        <v>4.5</v>
      </c>
      <c r="G55" s="76">
        <v>0</v>
      </c>
      <c r="H55" s="75" t="s">
        <v>109</v>
      </c>
      <c r="I55" s="75" t="s">
        <v>110</v>
      </c>
      <c r="J55" s="75">
        <v>2025</v>
      </c>
      <c r="K55" s="75"/>
    </row>
    <row r="56" spans="1:11" ht="270" customHeight="1" x14ac:dyDescent="0.25">
      <c r="A56" s="74" t="s">
        <v>22</v>
      </c>
      <c r="B56" s="74" t="s">
        <v>115</v>
      </c>
      <c r="C56" s="75" t="s">
        <v>116</v>
      </c>
      <c r="D56" s="75"/>
      <c r="E56" s="75" t="s">
        <v>117</v>
      </c>
      <c r="F56" s="76">
        <v>5</v>
      </c>
      <c r="G56" s="76">
        <v>0</v>
      </c>
      <c r="H56" s="75"/>
      <c r="I56" s="75"/>
      <c r="J56" s="75"/>
      <c r="K56" s="75"/>
    </row>
    <row r="57" spans="1:11" ht="270" customHeight="1" x14ac:dyDescent="0.25">
      <c r="A57" s="74" t="s">
        <v>22</v>
      </c>
      <c r="B57" s="74" t="s">
        <v>115</v>
      </c>
      <c r="C57" s="75" t="s">
        <v>118</v>
      </c>
      <c r="D57" s="75"/>
      <c r="E57" s="75" t="s">
        <v>119</v>
      </c>
      <c r="F57" s="76">
        <v>5</v>
      </c>
      <c r="G57" s="76">
        <v>0</v>
      </c>
      <c r="H57" s="75"/>
      <c r="I57" s="75"/>
      <c r="J57" s="75"/>
      <c r="K57" s="75"/>
    </row>
    <row r="58" spans="1:11" ht="270" customHeight="1" x14ac:dyDescent="0.25">
      <c r="A58" s="74" t="s">
        <v>22</v>
      </c>
      <c r="B58" s="74" t="s">
        <v>115</v>
      </c>
      <c r="C58" s="75" t="s">
        <v>120</v>
      </c>
      <c r="D58" s="75"/>
      <c r="E58" s="75" t="s">
        <v>121</v>
      </c>
      <c r="F58" s="76">
        <v>5</v>
      </c>
      <c r="G58" s="76">
        <v>0</v>
      </c>
      <c r="H58" s="75"/>
      <c r="I58" s="75"/>
      <c r="J58" s="75"/>
      <c r="K58" s="75"/>
    </row>
    <row r="59" spans="1:11" ht="270" customHeight="1" x14ac:dyDescent="0.25">
      <c r="A59" s="74" t="s">
        <v>22</v>
      </c>
      <c r="B59" s="74" t="s">
        <v>115</v>
      </c>
      <c r="C59" s="75" t="s">
        <v>122</v>
      </c>
      <c r="D59" s="75"/>
      <c r="E59" s="75" t="s">
        <v>123</v>
      </c>
      <c r="F59" s="76">
        <v>5</v>
      </c>
      <c r="G59" s="76">
        <v>0</v>
      </c>
      <c r="H59" s="75"/>
      <c r="I59" s="75"/>
      <c r="J59" s="75"/>
      <c r="K59" s="75"/>
    </row>
    <row r="60" spans="1:11" ht="270" customHeight="1" x14ac:dyDescent="0.25">
      <c r="A60" s="74" t="s">
        <v>22</v>
      </c>
      <c r="B60" s="74" t="s">
        <v>115</v>
      </c>
      <c r="C60" s="75" t="s">
        <v>124</v>
      </c>
      <c r="D60" s="75"/>
      <c r="E60" s="75" t="s">
        <v>125</v>
      </c>
      <c r="F60" s="76">
        <v>5</v>
      </c>
      <c r="G60" s="76">
        <v>0</v>
      </c>
      <c r="H60" s="75"/>
      <c r="I60" s="75"/>
      <c r="J60" s="75"/>
      <c r="K60" s="75"/>
    </row>
    <row r="61" spans="1:11" ht="270" customHeight="1" x14ac:dyDescent="0.25">
      <c r="A61" s="74" t="s">
        <v>22</v>
      </c>
      <c r="B61" s="74" t="s">
        <v>115</v>
      </c>
      <c r="C61" s="75" t="s">
        <v>126</v>
      </c>
      <c r="D61" s="75"/>
      <c r="E61" s="75" t="s">
        <v>127</v>
      </c>
      <c r="F61" s="76">
        <v>5</v>
      </c>
      <c r="G61" s="76">
        <v>0</v>
      </c>
      <c r="H61" s="75"/>
      <c r="I61" s="75"/>
      <c r="J61" s="75"/>
      <c r="K61" s="75"/>
    </row>
    <row r="62" spans="1:11" ht="270" customHeight="1" x14ac:dyDescent="0.25">
      <c r="A62" s="74" t="s">
        <v>22</v>
      </c>
      <c r="B62" s="74" t="s">
        <v>115</v>
      </c>
      <c r="C62" s="75" t="s">
        <v>128</v>
      </c>
      <c r="D62" s="75"/>
      <c r="E62" s="75" t="s">
        <v>129</v>
      </c>
      <c r="F62" s="76">
        <v>5</v>
      </c>
      <c r="G62" s="76">
        <v>0</v>
      </c>
      <c r="H62" s="75"/>
      <c r="I62" s="75"/>
      <c r="J62" s="75"/>
      <c r="K62" s="75"/>
    </row>
    <row r="63" spans="1:11" ht="270" customHeight="1" x14ac:dyDescent="0.25">
      <c r="A63" s="74" t="s">
        <v>22</v>
      </c>
      <c r="B63" s="74" t="s">
        <v>115</v>
      </c>
      <c r="C63" s="75" t="s">
        <v>130</v>
      </c>
      <c r="D63" s="75"/>
      <c r="E63" s="75" t="s">
        <v>131</v>
      </c>
      <c r="F63" s="76">
        <v>5</v>
      </c>
      <c r="G63" s="76">
        <v>0</v>
      </c>
      <c r="H63" s="75"/>
      <c r="I63" s="75"/>
      <c r="J63" s="75"/>
      <c r="K63" s="75"/>
    </row>
    <row r="64" spans="1:11" ht="270" customHeight="1" x14ac:dyDescent="0.25">
      <c r="A64" s="74" t="s">
        <v>22</v>
      </c>
      <c r="B64" s="74" t="s">
        <v>115</v>
      </c>
      <c r="C64" s="75" t="s">
        <v>132</v>
      </c>
      <c r="D64" s="75"/>
      <c r="E64" s="75" t="s">
        <v>133</v>
      </c>
      <c r="F64" s="76">
        <v>5</v>
      </c>
      <c r="G64" s="76">
        <v>0</v>
      </c>
      <c r="H64" s="75"/>
      <c r="I64" s="75"/>
      <c r="J64" s="75"/>
      <c r="K64" s="75"/>
    </row>
    <row r="65" spans="1:11" ht="270" customHeight="1" x14ac:dyDescent="0.25">
      <c r="A65" s="74" t="s">
        <v>22</v>
      </c>
      <c r="B65" s="74" t="s">
        <v>115</v>
      </c>
      <c r="C65" s="75" t="s">
        <v>134</v>
      </c>
      <c r="D65" s="75"/>
      <c r="E65" s="75" t="s">
        <v>135</v>
      </c>
      <c r="F65" s="76">
        <v>5</v>
      </c>
      <c r="G65" s="76">
        <v>0</v>
      </c>
      <c r="H65" s="75"/>
      <c r="I65" s="75"/>
      <c r="J65" s="75"/>
      <c r="K65" s="75"/>
    </row>
    <row r="66" spans="1:11" ht="270" customHeight="1" x14ac:dyDescent="0.25">
      <c r="A66" s="74" t="s">
        <v>22</v>
      </c>
      <c r="B66" s="74" t="s">
        <v>115</v>
      </c>
      <c r="C66" s="75" t="s">
        <v>136</v>
      </c>
      <c r="D66" s="75"/>
      <c r="E66" s="75" t="s">
        <v>137</v>
      </c>
      <c r="F66" s="76">
        <v>5</v>
      </c>
      <c r="G66" s="76">
        <v>0</v>
      </c>
      <c r="H66" s="75"/>
      <c r="I66" s="75"/>
      <c r="J66" s="75"/>
      <c r="K66" s="75"/>
    </row>
    <row r="67" spans="1:11" ht="270" customHeight="1" x14ac:dyDescent="0.25">
      <c r="A67" s="74" t="s">
        <v>22</v>
      </c>
      <c r="B67" s="74" t="s">
        <v>115</v>
      </c>
      <c r="C67" s="75" t="s">
        <v>138</v>
      </c>
      <c r="D67" s="75"/>
      <c r="E67" s="75" t="s">
        <v>139</v>
      </c>
      <c r="F67" s="76">
        <v>5</v>
      </c>
      <c r="G67" s="76">
        <v>0</v>
      </c>
      <c r="H67" s="75"/>
      <c r="I67" s="75"/>
      <c r="J67" s="75"/>
      <c r="K67" s="75"/>
    </row>
    <row r="68" spans="1:11" ht="270" customHeight="1" x14ac:dyDescent="0.25">
      <c r="A68" s="74" t="s">
        <v>22</v>
      </c>
      <c r="B68" s="74" t="s">
        <v>140</v>
      </c>
      <c r="C68" s="75" t="s">
        <v>141</v>
      </c>
      <c r="D68" s="75"/>
      <c r="E68" s="75" t="s">
        <v>142</v>
      </c>
      <c r="F68" s="76">
        <v>0</v>
      </c>
      <c r="G68" s="76">
        <v>0</v>
      </c>
      <c r="H68" s="75" t="s">
        <v>143</v>
      </c>
      <c r="I68" s="75" t="s">
        <v>110</v>
      </c>
      <c r="J68" s="75">
        <v>2025</v>
      </c>
      <c r="K68" s="75"/>
    </row>
    <row r="69" spans="1:11" ht="270" customHeight="1" x14ac:dyDescent="0.25">
      <c r="A69" s="74" t="s">
        <v>22</v>
      </c>
      <c r="B69" s="74" t="s">
        <v>140</v>
      </c>
      <c r="C69" s="75" t="s">
        <v>144</v>
      </c>
      <c r="D69" s="75"/>
      <c r="E69" s="75" t="s">
        <v>145</v>
      </c>
      <c r="F69" s="76">
        <v>0</v>
      </c>
      <c r="G69" s="76">
        <v>0</v>
      </c>
      <c r="H69" s="75" t="s">
        <v>143</v>
      </c>
      <c r="I69" s="75" t="s">
        <v>110</v>
      </c>
      <c r="J69" s="75">
        <v>2025</v>
      </c>
      <c r="K69" s="75"/>
    </row>
    <row r="70" spans="1:11" ht="270" customHeight="1" x14ac:dyDescent="0.25">
      <c r="A70" s="74" t="s">
        <v>22</v>
      </c>
      <c r="B70" s="74" t="s">
        <v>140</v>
      </c>
      <c r="C70" s="75" t="s">
        <v>146</v>
      </c>
      <c r="D70" s="75"/>
      <c r="E70" s="75" t="s">
        <v>147</v>
      </c>
      <c r="F70" s="76">
        <v>4.2</v>
      </c>
      <c r="G70" s="76">
        <v>0</v>
      </c>
      <c r="H70" s="75" t="s">
        <v>148</v>
      </c>
      <c r="I70" s="75" t="s">
        <v>110</v>
      </c>
      <c r="J70" s="75">
        <v>2025</v>
      </c>
      <c r="K70" s="75"/>
    </row>
    <row r="71" spans="1:11" ht="270" customHeight="1" x14ac:dyDescent="0.25">
      <c r="A71" s="74" t="s">
        <v>22</v>
      </c>
      <c r="B71" s="74" t="s">
        <v>140</v>
      </c>
      <c r="C71" s="75" t="s">
        <v>149</v>
      </c>
      <c r="D71" s="75"/>
      <c r="E71" s="75" t="s">
        <v>150</v>
      </c>
      <c r="F71" s="76">
        <v>4.2</v>
      </c>
      <c r="G71" s="76">
        <v>0</v>
      </c>
      <c r="H71" s="75" t="s">
        <v>148</v>
      </c>
      <c r="I71" s="75" t="s">
        <v>110</v>
      </c>
      <c r="J71" s="75">
        <v>2025</v>
      </c>
      <c r="K71" s="75"/>
    </row>
    <row r="72" spans="1:11" ht="270" customHeight="1" x14ac:dyDescent="0.25">
      <c r="A72" s="74" t="s">
        <v>22</v>
      </c>
      <c r="B72" s="74" t="s">
        <v>151</v>
      </c>
      <c r="C72" s="75" t="s">
        <v>937</v>
      </c>
      <c r="D72" s="75"/>
      <c r="E72" s="75" t="s">
        <v>936</v>
      </c>
      <c r="F72" s="76">
        <v>4.2</v>
      </c>
      <c r="G72" s="76">
        <v>0</v>
      </c>
      <c r="H72" s="75" t="s">
        <v>148</v>
      </c>
      <c r="I72" s="75" t="s">
        <v>110</v>
      </c>
      <c r="J72" s="75">
        <v>2025</v>
      </c>
      <c r="K72" s="75"/>
    </row>
    <row r="73" spans="1:11" ht="270" customHeight="1" x14ac:dyDescent="0.25">
      <c r="A73" s="74" t="s">
        <v>22</v>
      </c>
      <c r="B73" s="74" t="s">
        <v>151</v>
      </c>
      <c r="C73" s="75" t="s">
        <v>152</v>
      </c>
      <c r="D73" s="75"/>
      <c r="E73" s="75" t="s">
        <v>153</v>
      </c>
      <c r="F73" s="76">
        <v>4.2</v>
      </c>
      <c r="G73" s="76">
        <v>0</v>
      </c>
      <c r="H73" s="75" t="s">
        <v>148</v>
      </c>
      <c r="I73" s="75" t="s">
        <v>110</v>
      </c>
      <c r="J73" s="75">
        <v>2025</v>
      </c>
      <c r="K73" s="75"/>
    </row>
    <row r="74" spans="1:11" ht="270" customHeight="1" x14ac:dyDescent="0.25">
      <c r="A74" s="74" t="s">
        <v>22</v>
      </c>
      <c r="B74" s="74" t="s">
        <v>151</v>
      </c>
      <c r="C74" s="75" t="s">
        <v>154</v>
      </c>
      <c r="D74" s="75"/>
      <c r="E74" s="75" t="s">
        <v>155</v>
      </c>
      <c r="F74" s="76">
        <v>4.2</v>
      </c>
      <c r="G74" s="76">
        <v>0</v>
      </c>
      <c r="H74" s="75" t="s">
        <v>148</v>
      </c>
      <c r="I74" s="75" t="s">
        <v>110</v>
      </c>
      <c r="J74" s="75">
        <v>2025</v>
      </c>
      <c r="K74" s="75"/>
    </row>
    <row r="75" spans="1:11" ht="270" customHeight="1" x14ac:dyDescent="0.25">
      <c r="A75" s="74" t="s">
        <v>22</v>
      </c>
      <c r="B75" s="74" t="s">
        <v>151</v>
      </c>
      <c r="C75" s="75" t="s">
        <v>156</v>
      </c>
      <c r="D75" s="75"/>
      <c r="E75" s="75" t="s">
        <v>157</v>
      </c>
      <c r="F75" s="76">
        <v>4.2</v>
      </c>
      <c r="G75" s="76">
        <v>0</v>
      </c>
      <c r="H75" s="75" t="s">
        <v>148</v>
      </c>
      <c r="I75" s="75" t="s">
        <v>110</v>
      </c>
      <c r="J75" s="75">
        <v>2025</v>
      </c>
      <c r="K75" s="75"/>
    </row>
    <row r="76" spans="1:11" ht="270" customHeight="1" x14ac:dyDescent="0.25">
      <c r="A76" s="74" t="s">
        <v>22</v>
      </c>
      <c r="B76" s="74" t="s">
        <v>151</v>
      </c>
      <c r="C76" s="75" t="s">
        <v>158</v>
      </c>
      <c r="D76" s="75"/>
      <c r="E76" s="75" t="s">
        <v>159</v>
      </c>
      <c r="F76" s="76">
        <v>4.2</v>
      </c>
      <c r="G76" s="76">
        <v>0</v>
      </c>
      <c r="H76" s="75" t="s">
        <v>148</v>
      </c>
      <c r="I76" s="75" t="s">
        <v>110</v>
      </c>
      <c r="J76" s="75">
        <v>2025</v>
      </c>
      <c r="K76" s="75"/>
    </row>
    <row r="77" spans="1:11" ht="270" customHeight="1" x14ac:dyDescent="0.25">
      <c r="A77" s="74" t="s">
        <v>22</v>
      </c>
      <c r="B77" s="74" t="s">
        <v>151</v>
      </c>
      <c r="C77" s="75" t="s">
        <v>160</v>
      </c>
      <c r="D77" s="75"/>
      <c r="E77" s="75" t="s">
        <v>161</v>
      </c>
      <c r="F77" s="76">
        <v>4.2</v>
      </c>
      <c r="G77" s="76">
        <v>0</v>
      </c>
      <c r="H77" s="75" t="s">
        <v>148</v>
      </c>
      <c r="I77" s="75" t="s">
        <v>110</v>
      </c>
      <c r="J77" s="75">
        <v>2025</v>
      </c>
      <c r="K77" s="75"/>
    </row>
    <row r="78" spans="1:11" ht="270" customHeight="1" x14ac:dyDescent="0.25">
      <c r="A78" s="74" t="s">
        <v>22</v>
      </c>
      <c r="B78" s="74" t="s">
        <v>151</v>
      </c>
      <c r="C78" s="75" t="s">
        <v>162</v>
      </c>
      <c r="D78" s="75"/>
      <c r="E78" s="75" t="s">
        <v>163</v>
      </c>
      <c r="F78" s="76">
        <v>4.2</v>
      </c>
      <c r="G78" s="76">
        <v>0</v>
      </c>
      <c r="H78" s="75" t="s">
        <v>148</v>
      </c>
      <c r="I78" s="75" t="s">
        <v>110</v>
      </c>
      <c r="J78" s="75">
        <v>2025</v>
      </c>
      <c r="K78" s="75"/>
    </row>
    <row r="79" spans="1:11" ht="270" customHeight="1" x14ac:dyDescent="0.25">
      <c r="A79" s="74" t="s">
        <v>22</v>
      </c>
      <c r="B79" s="74" t="s">
        <v>151</v>
      </c>
      <c r="C79" s="75" t="s">
        <v>946</v>
      </c>
      <c r="D79" s="75" t="s">
        <v>947</v>
      </c>
      <c r="E79" s="75" t="s">
        <v>948</v>
      </c>
      <c r="F79" s="76">
        <v>4.2</v>
      </c>
      <c r="G79" s="76">
        <v>0</v>
      </c>
      <c r="H79" s="75" t="s">
        <v>148</v>
      </c>
      <c r="I79" s="75" t="s">
        <v>110</v>
      </c>
      <c r="J79" s="75">
        <v>2025</v>
      </c>
      <c r="K79" s="75"/>
    </row>
    <row r="80" spans="1:11" ht="270" customHeight="1" x14ac:dyDescent="0.25">
      <c r="A80" s="74" t="s">
        <v>22</v>
      </c>
      <c r="B80" s="74" t="s">
        <v>151</v>
      </c>
      <c r="C80" s="75" t="s">
        <v>164</v>
      </c>
      <c r="D80" s="75"/>
      <c r="E80" s="75" t="s">
        <v>165</v>
      </c>
      <c r="F80" s="76">
        <v>4.2</v>
      </c>
      <c r="G80" s="76">
        <v>0</v>
      </c>
      <c r="H80" s="75" t="s">
        <v>148</v>
      </c>
      <c r="I80" s="75" t="s">
        <v>110</v>
      </c>
      <c r="J80" s="75">
        <v>2025</v>
      </c>
      <c r="K80" s="75"/>
    </row>
    <row r="81" spans="1:11" ht="270" customHeight="1" x14ac:dyDescent="0.25">
      <c r="A81" s="74" t="s">
        <v>22</v>
      </c>
      <c r="B81" s="74" t="s">
        <v>151</v>
      </c>
      <c r="C81" s="75" t="s">
        <v>166</v>
      </c>
      <c r="D81" s="75"/>
      <c r="E81" s="75" t="s">
        <v>167</v>
      </c>
      <c r="F81" s="76">
        <v>4.2</v>
      </c>
      <c r="G81" s="76">
        <v>0</v>
      </c>
      <c r="H81" s="75" t="s">
        <v>148</v>
      </c>
      <c r="I81" s="75" t="s">
        <v>110</v>
      </c>
      <c r="J81" s="75">
        <v>2025</v>
      </c>
      <c r="K81" s="75"/>
    </row>
    <row r="82" spans="1:11" ht="270" customHeight="1" x14ac:dyDescent="0.25">
      <c r="A82" s="74" t="s">
        <v>22</v>
      </c>
      <c r="B82" s="74" t="s">
        <v>151</v>
      </c>
      <c r="C82" s="75" t="s">
        <v>168</v>
      </c>
      <c r="D82" s="75"/>
      <c r="E82" s="75" t="s">
        <v>169</v>
      </c>
      <c r="F82" s="76">
        <v>4.2</v>
      </c>
      <c r="G82" s="76">
        <v>0</v>
      </c>
      <c r="H82" s="75" t="s">
        <v>148</v>
      </c>
      <c r="I82" s="75" t="s">
        <v>110</v>
      </c>
      <c r="J82" s="75">
        <v>2025</v>
      </c>
      <c r="K82" s="75"/>
    </row>
    <row r="83" spans="1:11" ht="270" customHeight="1" x14ac:dyDescent="0.25">
      <c r="A83" s="74" t="s">
        <v>22</v>
      </c>
      <c r="B83" s="74" t="s">
        <v>170</v>
      </c>
      <c r="C83" s="75" t="s">
        <v>946</v>
      </c>
      <c r="D83" s="75" t="s">
        <v>947</v>
      </c>
      <c r="E83" s="75" t="s">
        <v>948</v>
      </c>
      <c r="F83" s="76">
        <v>5</v>
      </c>
      <c r="G83" s="76">
        <v>0</v>
      </c>
      <c r="H83" s="75"/>
      <c r="I83" s="75"/>
      <c r="J83" s="75"/>
      <c r="K83" s="75"/>
    </row>
    <row r="84" spans="1:11" ht="270" customHeight="1" x14ac:dyDescent="0.25">
      <c r="A84" s="74" t="s">
        <v>22</v>
      </c>
      <c r="B84" s="74" t="s">
        <v>170</v>
      </c>
      <c r="C84" s="75" t="s">
        <v>171</v>
      </c>
      <c r="D84" s="75"/>
      <c r="E84" s="75" t="s">
        <v>172</v>
      </c>
      <c r="F84" s="76">
        <v>5</v>
      </c>
      <c r="G84" s="76">
        <v>0</v>
      </c>
      <c r="H84" s="75"/>
      <c r="I84" s="75"/>
      <c r="J84" s="75"/>
      <c r="K84" s="75"/>
    </row>
    <row r="85" spans="1:11" ht="270" customHeight="1" x14ac:dyDescent="0.25">
      <c r="A85" s="74" t="s">
        <v>22</v>
      </c>
      <c r="B85" s="74" t="s">
        <v>170</v>
      </c>
      <c r="C85" s="75" t="s">
        <v>173</v>
      </c>
      <c r="D85" s="75"/>
      <c r="E85" s="75" t="s">
        <v>174</v>
      </c>
      <c r="F85" s="76">
        <v>5</v>
      </c>
      <c r="G85" s="76">
        <v>0</v>
      </c>
      <c r="H85" s="75"/>
      <c r="I85" s="75"/>
      <c r="J85" s="75"/>
      <c r="K85" s="75"/>
    </row>
    <row r="86" spans="1:11" ht="270" customHeight="1" x14ac:dyDescent="0.25">
      <c r="A86" s="74" t="s">
        <v>22</v>
      </c>
      <c r="B86" s="74" t="s">
        <v>170</v>
      </c>
      <c r="C86" s="75" t="s">
        <v>175</v>
      </c>
      <c r="D86" s="75"/>
      <c r="E86" s="75" t="s">
        <v>176</v>
      </c>
      <c r="F86" s="76">
        <v>5</v>
      </c>
      <c r="G86" s="76">
        <v>0</v>
      </c>
      <c r="H86" s="75"/>
      <c r="I86" s="75"/>
      <c r="J86" s="75"/>
      <c r="K86" s="75"/>
    </row>
    <row r="87" spans="1:11" ht="270" customHeight="1" x14ac:dyDescent="0.25">
      <c r="A87" s="74" t="s">
        <v>22</v>
      </c>
      <c r="B87" s="74" t="s">
        <v>170</v>
      </c>
      <c r="C87" s="75" t="s">
        <v>177</v>
      </c>
      <c r="D87" s="75"/>
      <c r="E87" s="75" t="s">
        <v>178</v>
      </c>
      <c r="F87" s="76">
        <v>5</v>
      </c>
      <c r="G87" s="76">
        <v>0</v>
      </c>
      <c r="H87" s="75"/>
      <c r="I87" s="75"/>
      <c r="J87" s="75"/>
      <c r="K87" s="75"/>
    </row>
    <row r="88" spans="1:11" ht="270" customHeight="1" x14ac:dyDescent="0.25">
      <c r="A88" s="74" t="s">
        <v>22</v>
      </c>
      <c r="B88" s="74" t="s">
        <v>179</v>
      </c>
      <c r="C88" s="75" t="s">
        <v>180</v>
      </c>
      <c r="D88" s="75"/>
      <c r="E88" s="75" t="s">
        <v>181</v>
      </c>
      <c r="F88" s="76">
        <v>5</v>
      </c>
      <c r="G88" s="76">
        <v>0</v>
      </c>
      <c r="H88" s="75"/>
      <c r="I88" s="75"/>
      <c r="J88" s="75"/>
      <c r="K88" s="75"/>
    </row>
    <row r="89" spans="1:11" ht="270" customHeight="1" x14ac:dyDescent="0.25">
      <c r="A89" s="74" t="s">
        <v>22</v>
      </c>
      <c r="B89" s="74" t="s">
        <v>179</v>
      </c>
      <c r="C89" s="75" t="s">
        <v>182</v>
      </c>
      <c r="D89" s="75"/>
      <c r="E89" s="75" t="s">
        <v>183</v>
      </c>
      <c r="F89" s="76">
        <v>5</v>
      </c>
      <c r="G89" s="76">
        <v>0</v>
      </c>
      <c r="H89" s="75"/>
      <c r="I89" s="75"/>
      <c r="J89" s="75"/>
      <c r="K89" s="75"/>
    </row>
    <row r="90" spans="1:11" ht="270" customHeight="1" x14ac:dyDescent="0.25">
      <c r="A90" s="74" t="s">
        <v>22</v>
      </c>
      <c r="B90" s="74" t="s">
        <v>179</v>
      </c>
      <c r="C90" s="75" t="s">
        <v>184</v>
      </c>
      <c r="D90" s="75"/>
      <c r="E90" s="75" t="s">
        <v>185</v>
      </c>
      <c r="F90" s="76">
        <v>5</v>
      </c>
      <c r="G90" s="76">
        <v>0</v>
      </c>
      <c r="H90" s="75"/>
      <c r="I90" s="75"/>
      <c r="J90" s="75"/>
      <c r="K90" s="75"/>
    </row>
    <row r="91" spans="1:11" ht="270" customHeight="1" x14ac:dyDescent="0.25">
      <c r="A91" s="74" t="s">
        <v>22</v>
      </c>
      <c r="B91" s="74" t="s">
        <v>179</v>
      </c>
      <c r="C91" s="75" t="s">
        <v>186</v>
      </c>
      <c r="D91" s="75"/>
      <c r="E91" s="75" t="s">
        <v>187</v>
      </c>
      <c r="F91" s="76">
        <v>5</v>
      </c>
      <c r="G91" s="76">
        <v>0</v>
      </c>
      <c r="H91" s="75"/>
      <c r="I91" s="75"/>
      <c r="J91" s="75"/>
      <c r="K91" s="75"/>
    </row>
    <row r="92" spans="1:11" ht="270" customHeight="1" x14ac:dyDescent="0.25">
      <c r="A92" s="74" t="s">
        <v>22</v>
      </c>
      <c r="B92" s="74" t="s">
        <v>179</v>
      </c>
      <c r="C92" s="75" t="s">
        <v>188</v>
      </c>
      <c r="D92" s="75"/>
      <c r="E92" s="75" t="s">
        <v>189</v>
      </c>
      <c r="F92" s="76">
        <v>5</v>
      </c>
      <c r="G92" s="76">
        <v>0</v>
      </c>
      <c r="H92" s="75"/>
      <c r="I92" s="75"/>
      <c r="J92" s="75"/>
      <c r="K92" s="75"/>
    </row>
    <row r="93" spans="1:11" ht="270" customHeight="1" x14ac:dyDescent="0.25">
      <c r="A93" s="74" t="s">
        <v>22</v>
      </c>
      <c r="B93" s="74" t="s">
        <v>179</v>
      </c>
      <c r="C93" s="75" t="s">
        <v>190</v>
      </c>
      <c r="D93" s="75"/>
      <c r="E93" s="75" t="s">
        <v>191</v>
      </c>
      <c r="F93" s="76">
        <v>5</v>
      </c>
      <c r="G93" s="76">
        <v>0</v>
      </c>
      <c r="H93" s="75"/>
      <c r="I93" s="75"/>
      <c r="J93" s="75"/>
      <c r="K93" s="75"/>
    </row>
    <row r="94" spans="1:11" ht="270" customHeight="1" x14ac:dyDescent="0.25">
      <c r="A94" s="74" t="s">
        <v>22</v>
      </c>
      <c r="B94" s="74" t="s">
        <v>179</v>
      </c>
      <c r="C94" s="75" t="s">
        <v>192</v>
      </c>
      <c r="D94" s="75"/>
      <c r="E94" s="75" t="s">
        <v>193</v>
      </c>
      <c r="F94" s="76">
        <v>5</v>
      </c>
      <c r="G94" s="76">
        <v>0</v>
      </c>
      <c r="H94" s="75"/>
      <c r="I94" s="75"/>
      <c r="J94" s="75"/>
      <c r="K94" s="75"/>
    </row>
    <row r="95" spans="1:11" ht="270" customHeight="1" x14ac:dyDescent="0.25">
      <c r="A95" s="74" t="s">
        <v>22</v>
      </c>
      <c r="B95" s="74" t="s">
        <v>179</v>
      </c>
      <c r="C95" s="75" t="s">
        <v>76</v>
      </c>
      <c r="D95" s="75"/>
      <c r="E95" s="75" t="s">
        <v>77</v>
      </c>
      <c r="F95" s="76">
        <v>5</v>
      </c>
      <c r="G95" s="76">
        <v>0</v>
      </c>
      <c r="H95" s="75"/>
      <c r="I95" s="75"/>
      <c r="J95" s="75"/>
      <c r="K95" s="75"/>
    </row>
    <row r="96" spans="1:11" ht="270" customHeight="1" x14ac:dyDescent="0.25">
      <c r="A96" s="74" t="s">
        <v>22</v>
      </c>
      <c r="B96" s="74" t="s">
        <v>179</v>
      </c>
      <c r="C96" s="75" t="s">
        <v>194</v>
      </c>
      <c r="D96" s="75"/>
      <c r="E96" s="75" t="s">
        <v>195</v>
      </c>
      <c r="F96" s="76">
        <v>5</v>
      </c>
      <c r="G96" s="76">
        <v>0</v>
      </c>
      <c r="H96" s="75"/>
      <c r="I96" s="75"/>
      <c r="J96" s="75"/>
      <c r="K96" s="75"/>
    </row>
    <row r="97" spans="1:11" ht="270" customHeight="1" x14ac:dyDescent="0.25">
      <c r="A97" s="74" t="s">
        <v>22</v>
      </c>
      <c r="B97" s="74" t="s">
        <v>179</v>
      </c>
      <c r="C97" s="75" t="s">
        <v>196</v>
      </c>
      <c r="D97" s="75"/>
      <c r="E97" s="75" t="s">
        <v>197</v>
      </c>
      <c r="F97" s="76">
        <v>5</v>
      </c>
      <c r="G97" s="76">
        <v>0</v>
      </c>
      <c r="H97" s="75"/>
      <c r="I97" s="75"/>
      <c r="J97" s="75"/>
      <c r="K97" s="75"/>
    </row>
    <row r="98" spans="1:11" ht="270" customHeight="1" x14ac:dyDescent="0.25">
      <c r="A98" s="74" t="s">
        <v>22</v>
      </c>
      <c r="B98" s="74" t="s">
        <v>198</v>
      </c>
      <c r="C98" s="75" t="s">
        <v>199</v>
      </c>
      <c r="D98" s="75"/>
      <c r="E98" s="75" t="s">
        <v>200</v>
      </c>
      <c r="F98" s="76">
        <v>4.0999999999999996</v>
      </c>
      <c r="G98" s="76">
        <v>0</v>
      </c>
      <c r="H98" s="75" t="s">
        <v>148</v>
      </c>
      <c r="I98" s="75" t="s">
        <v>110</v>
      </c>
      <c r="J98" s="75">
        <v>2025</v>
      </c>
      <c r="K98" s="75"/>
    </row>
    <row r="99" spans="1:11" ht="270" customHeight="1" x14ac:dyDescent="0.25">
      <c r="A99" s="74" t="s">
        <v>22</v>
      </c>
      <c r="B99" s="74" t="s">
        <v>198</v>
      </c>
      <c r="C99" s="75" t="s">
        <v>201</v>
      </c>
      <c r="D99" s="75"/>
      <c r="E99" s="75" t="s">
        <v>202</v>
      </c>
      <c r="F99" s="76">
        <v>4.0999999999999996</v>
      </c>
      <c r="G99" s="76">
        <v>0</v>
      </c>
      <c r="H99" s="75" t="s">
        <v>148</v>
      </c>
      <c r="I99" s="75" t="s">
        <v>110</v>
      </c>
      <c r="J99" s="75">
        <v>2025</v>
      </c>
      <c r="K99" s="75"/>
    </row>
    <row r="100" spans="1:11" ht="270" customHeight="1" x14ac:dyDescent="0.25">
      <c r="A100" s="74" t="s">
        <v>22</v>
      </c>
      <c r="B100" s="74" t="s">
        <v>198</v>
      </c>
      <c r="C100" s="75" t="s">
        <v>203</v>
      </c>
      <c r="D100" s="75"/>
      <c r="E100" s="75" t="s">
        <v>204</v>
      </c>
      <c r="F100" s="76">
        <v>4.0999999999999996</v>
      </c>
      <c r="G100" s="76">
        <v>0</v>
      </c>
      <c r="H100" s="75" t="s">
        <v>148</v>
      </c>
      <c r="I100" s="75" t="s">
        <v>110</v>
      </c>
      <c r="J100" s="75">
        <v>2025</v>
      </c>
      <c r="K100" s="75"/>
    </row>
    <row r="101" spans="1:11" ht="270" customHeight="1" x14ac:dyDescent="0.25">
      <c r="A101" s="74" t="s">
        <v>22</v>
      </c>
      <c r="B101" s="74" t="s">
        <v>198</v>
      </c>
      <c r="C101" s="75" t="s">
        <v>205</v>
      </c>
      <c r="D101" s="75"/>
      <c r="E101" s="75" t="s">
        <v>41</v>
      </c>
      <c r="F101" s="76">
        <v>4.0999999999999996</v>
      </c>
      <c r="G101" s="76">
        <v>0</v>
      </c>
      <c r="H101" s="75" t="s">
        <v>148</v>
      </c>
      <c r="I101" s="75" t="s">
        <v>110</v>
      </c>
      <c r="J101" s="75">
        <v>2025</v>
      </c>
      <c r="K101" s="75"/>
    </row>
    <row r="102" spans="1:11" ht="270" customHeight="1" x14ac:dyDescent="0.25">
      <c r="A102" s="74" t="s">
        <v>22</v>
      </c>
      <c r="B102" s="74" t="s">
        <v>198</v>
      </c>
      <c r="C102" s="75" t="s">
        <v>206</v>
      </c>
      <c r="D102" s="75"/>
      <c r="E102" s="75" t="s">
        <v>207</v>
      </c>
      <c r="F102" s="76">
        <v>4.0999999999999996</v>
      </c>
      <c r="G102" s="76">
        <v>0</v>
      </c>
      <c r="H102" s="75" t="s">
        <v>148</v>
      </c>
      <c r="I102" s="75" t="s">
        <v>110</v>
      </c>
      <c r="J102" s="75">
        <v>2025</v>
      </c>
      <c r="K102" s="75"/>
    </row>
    <row r="103" spans="1:11" ht="270" customHeight="1" x14ac:dyDescent="0.25">
      <c r="A103" s="74" t="s">
        <v>22</v>
      </c>
      <c r="B103" s="74" t="s">
        <v>198</v>
      </c>
      <c r="C103" s="75" t="s">
        <v>208</v>
      </c>
      <c r="D103" s="75"/>
      <c r="E103" s="75" t="s">
        <v>209</v>
      </c>
      <c r="F103" s="76">
        <v>4.0999999999999996</v>
      </c>
      <c r="G103" s="76">
        <v>0</v>
      </c>
      <c r="H103" s="75" t="s">
        <v>148</v>
      </c>
      <c r="I103" s="75" t="s">
        <v>110</v>
      </c>
      <c r="J103" s="75">
        <v>2025</v>
      </c>
      <c r="K103" s="75"/>
    </row>
    <row r="104" spans="1:11" ht="270" customHeight="1" x14ac:dyDescent="0.25">
      <c r="A104" s="74" t="s">
        <v>22</v>
      </c>
      <c r="B104" s="74" t="s">
        <v>198</v>
      </c>
      <c r="C104" s="75" t="s">
        <v>210</v>
      </c>
      <c r="D104" s="75"/>
      <c r="E104" s="75" t="s">
        <v>211</v>
      </c>
      <c r="F104" s="76">
        <v>4.0999999999999996</v>
      </c>
      <c r="G104" s="76">
        <v>0</v>
      </c>
      <c r="H104" s="75" t="s">
        <v>148</v>
      </c>
      <c r="I104" s="75" t="s">
        <v>110</v>
      </c>
      <c r="J104" s="75">
        <v>2025</v>
      </c>
      <c r="K104" s="75"/>
    </row>
    <row r="105" spans="1:11" ht="270" customHeight="1" x14ac:dyDescent="0.25">
      <c r="A105" s="74" t="s">
        <v>22</v>
      </c>
      <c r="B105" s="74" t="s">
        <v>198</v>
      </c>
      <c r="C105" s="75" t="s">
        <v>212</v>
      </c>
      <c r="D105" s="75"/>
      <c r="E105" s="75" t="s">
        <v>213</v>
      </c>
      <c r="F105" s="76">
        <v>4.0999999999999996</v>
      </c>
      <c r="G105" s="76">
        <v>0</v>
      </c>
      <c r="H105" s="75" t="s">
        <v>148</v>
      </c>
      <c r="I105" s="75" t="s">
        <v>110</v>
      </c>
      <c r="J105" s="75">
        <v>2025</v>
      </c>
      <c r="K105" s="75"/>
    </row>
    <row r="106" spans="1:11" ht="270" customHeight="1" x14ac:dyDescent="0.25">
      <c r="A106" s="74" t="s">
        <v>22</v>
      </c>
      <c r="B106" s="74" t="s">
        <v>198</v>
      </c>
      <c r="C106" s="75" t="s">
        <v>214</v>
      </c>
      <c r="D106" s="75"/>
      <c r="E106" s="75" t="s">
        <v>215</v>
      </c>
      <c r="F106" s="76">
        <v>4.0999999999999996</v>
      </c>
      <c r="G106" s="76">
        <v>0</v>
      </c>
      <c r="H106" s="75" t="s">
        <v>148</v>
      </c>
      <c r="I106" s="75" t="s">
        <v>110</v>
      </c>
      <c r="J106" s="75">
        <v>2025</v>
      </c>
      <c r="K106" s="75"/>
    </row>
    <row r="107" spans="1:11" ht="270" customHeight="1" x14ac:dyDescent="0.25">
      <c r="A107" s="74" t="s">
        <v>22</v>
      </c>
      <c r="B107" s="74" t="s">
        <v>198</v>
      </c>
      <c r="C107" s="75" t="s">
        <v>216</v>
      </c>
      <c r="D107" s="75"/>
      <c r="E107" s="75" t="s">
        <v>217</v>
      </c>
      <c r="F107" s="76">
        <v>4.0999999999999996</v>
      </c>
      <c r="G107" s="76">
        <v>0</v>
      </c>
      <c r="H107" s="75" t="s">
        <v>148</v>
      </c>
      <c r="I107" s="75" t="s">
        <v>110</v>
      </c>
      <c r="J107" s="75">
        <v>2025</v>
      </c>
      <c r="K107" s="75"/>
    </row>
    <row r="108" spans="1:11" ht="270" customHeight="1" x14ac:dyDescent="0.25">
      <c r="A108" s="74" t="s">
        <v>22</v>
      </c>
      <c r="B108" s="74" t="s">
        <v>198</v>
      </c>
      <c r="C108" s="75" t="s">
        <v>218</v>
      </c>
      <c r="D108" s="75"/>
      <c r="E108" s="75" t="s">
        <v>219</v>
      </c>
      <c r="F108" s="76">
        <v>4.0999999999999996</v>
      </c>
      <c r="G108" s="76">
        <v>0</v>
      </c>
      <c r="H108" s="75" t="s">
        <v>148</v>
      </c>
      <c r="I108" s="75" t="s">
        <v>110</v>
      </c>
      <c r="J108" s="75">
        <v>2025</v>
      </c>
      <c r="K108" s="75"/>
    </row>
    <row r="109" spans="1:11" ht="270" customHeight="1" x14ac:dyDescent="0.25">
      <c r="A109" s="74" t="s">
        <v>22</v>
      </c>
      <c r="B109" s="74" t="s">
        <v>220</v>
      </c>
      <c r="C109" s="75" t="s">
        <v>221</v>
      </c>
      <c r="D109" s="75"/>
      <c r="E109" s="75" t="s">
        <v>222</v>
      </c>
      <c r="F109" s="76">
        <v>3.3</v>
      </c>
      <c r="G109" s="76">
        <v>0</v>
      </c>
      <c r="H109" s="75" t="s">
        <v>148</v>
      </c>
      <c r="I109" s="75" t="s">
        <v>110</v>
      </c>
      <c r="J109" s="75">
        <v>2025</v>
      </c>
      <c r="K109" s="75"/>
    </row>
    <row r="110" spans="1:11" ht="270" customHeight="1" x14ac:dyDescent="0.25">
      <c r="A110" s="74" t="s">
        <v>22</v>
      </c>
      <c r="B110" s="74" t="s">
        <v>220</v>
      </c>
      <c r="C110" s="75" t="s">
        <v>223</v>
      </c>
      <c r="D110" s="75"/>
      <c r="E110" s="75" t="s">
        <v>224</v>
      </c>
      <c r="F110" s="76">
        <v>3.3</v>
      </c>
      <c r="G110" s="76">
        <v>0</v>
      </c>
      <c r="H110" s="75" t="s">
        <v>148</v>
      </c>
      <c r="I110" s="75" t="s">
        <v>110</v>
      </c>
      <c r="J110" s="75">
        <v>2025</v>
      </c>
      <c r="K110" s="75"/>
    </row>
    <row r="111" spans="1:11" ht="270" customHeight="1" x14ac:dyDescent="0.25">
      <c r="A111" s="74" t="s">
        <v>22</v>
      </c>
      <c r="B111" s="74" t="s">
        <v>220</v>
      </c>
      <c r="C111" s="75" t="s">
        <v>225</v>
      </c>
      <c r="D111" s="75"/>
      <c r="E111" s="75" t="s">
        <v>226</v>
      </c>
      <c r="F111" s="76">
        <v>3.3</v>
      </c>
      <c r="G111" s="76">
        <v>0</v>
      </c>
      <c r="H111" s="75" t="s">
        <v>148</v>
      </c>
      <c r="I111" s="75" t="s">
        <v>110</v>
      </c>
      <c r="J111" s="75">
        <v>2025</v>
      </c>
      <c r="K111" s="75"/>
    </row>
    <row r="112" spans="1:11" ht="270" customHeight="1" x14ac:dyDescent="0.25">
      <c r="A112" s="74" t="s">
        <v>22</v>
      </c>
      <c r="B112" s="74" t="s">
        <v>220</v>
      </c>
      <c r="C112" s="75" t="s">
        <v>227</v>
      </c>
      <c r="D112" s="75"/>
      <c r="E112" s="75" t="s">
        <v>228</v>
      </c>
      <c r="F112" s="76">
        <v>3.3</v>
      </c>
      <c r="G112" s="76">
        <v>0</v>
      </c>
      <c r="H112" s="75" t="s">
        <v>148</v>
      </c>
      <c r="I112" s="75" t="s">
        <v>110</v>
      </c>
      <c r="J112" s="75">
        <v>2025</v>
      </c>
      <c r="K112" s="75"/>
    </row>
    <row r="113" spans="1:11" ht="270" customHeight="1" x14ac:dyDescent="0.25">
      <c r="A113" s="74" t="s">
        <v>22</v>
      </c>
      <c r="B113" s="74" t="s">
        <v>220</v>
      </c>
      <c r="C113" s="75" t="s">
        <v>229</v>
      </c>
      <c r="D113" s="75"/>
      <c r="E113" s="75" t="s">
        <v>230</v>
      </c>
      <c r="F113" s="76">
        <v>3.3</v>
      </c>
      <c r="G113" s="76">
        <v>0</v>
      </c>
      <c r="H113" s="75" t="s">
        <v>148</v>
      </c>
      <c r="I113" s="75" t="s">
        <v>110</v>
      </c>
      <c r="J113" s="75">
        <v>2025</v>
      </c>
      <c r="K113" s="75"/>
    </row>
    <row r="114" spans="1:11" ht="270" customHeight="1" x14ac:dyDescent="0.25">
      <c r="A114" s="74" t="s">
        <v>22</v>
      </c>
      <c r="B114" s="74" t="s">
        <v>220</v>
      </c>
      <c r="C114" s="75" t="s">
        <v>231</v>
      </c>
      <c r="D114" s="75"/>
      <c r="E114" s="75" t="s">
        <v>232</v>
      </c>
      <c r="F114" s="76">
        <v>3.3</v>
      </c>
      <c r="G114" s="76">
        <v>0</v>
      </c>
      <c r="H114" s="75" t="s">
        <v>148</v>
      </c>
      <c r="I114" s="75" t="s">
        <v>110</v>
      </c>
      <c r="J114" s="75">
        <v>2025</v>
      </c>
      <c r="K114" s="75"/>
    </row>
    <row r="115" spans="1:11" ht="270" customHeight="1" x14ac:dyDescent="0.25">
      <c r="A115" s="74" t="s">
        <v>22</v>
      </c>
      <c r="B115" s="74" t="s">
        <v>220</v>
      </c>
      <c r="C115" s="75" t="s">
        <v>233</v>
      </c>
      <c r="D115" s="75"/>
      <c r="E115" s="75" t="s">
        <v>234</v>
      </c>
      <c r="F115" s="76">
        <v>3.3</v>
      </c>
      <c r="G115" s="76">
        <v>0</v>
      </c>
      <c r="H115" s="75" t="s">
        <v>148</v>
      </c>
      <c r="I115" s="75" t="s">
        <v>110</v>
      </c>
      <c r="J115" s="75">
        <v>2025</v>
      </c>
      <c r="K115" s="75"/>
    </row>
    <row r="116" spans="1:11" ht="270" customHeight="1" x14ac:dyDescent="0.25">
      <c r="A116" s="74" t="s">
        <v>22</v>
      </c>
      <c r="B116" s="74" t="s">
        <v>220</v>
      </c>
      <c r="C116" s="75" t="s">
        <v>235</v>
      </c>
      <c r="D116" s="75"/>
      <c r="E116" s="75" t="s">
        <v>236</v>
      </c>
      <c r="F116" s="76">
        <v>3.3</v>
      </c>
      <c r="G116" s="76">
        <v>0</v>
      </c>
      <c r="H116" s="75" t="s">
        <v>148</v>
      </c>
      <c r="I116" s="75" t="s">
        <v>110</v>
      </c>
      <c r="J116" s="75">
        <v>2025</v>
      </c>
      <c r="K116" s="75"/>
    </row>
    <row r="117" spans="1:11" ht="270" customHeight="1" x14ac:dyDescent="0.25">
      <c r="A117" s="74" t="s">
        <v>22</v>
      </c>
      <c r="B117" s="74" t="s">
        <v>220</v>
      </c>
      <c r="C117" s="75" t="s">
        <v>237</v>
      </c>
      <c r="D117" s="75"/>
      <c r="E117" s="75" t="s">
        <v>238</v>
      </c>
      <c r="F117" s="76">
        <v>3.3</v>
      </c>
      <c r="G117" s="76">
        <v>0</v>
      </c>
      <c r="H117" s="75" t="s">
        <v>148</v>
      </c>
      <c r="I117" s="75" t="s">
        <v>110</v>
      </c>
      <c r="J117" s="75">
        <v>2025</v>
      </c>
      <c r="K117" s="75"/>
    </row>
    <row r="118" spans="1:11" ht="270" customHeight="1" x14ac:dyDescent="0.25">
      <c r="A118" s="74" t="s">
        <v>22</v>
      </c>
      <c r="B118" s="74" t="s">
        <v>220</v>
      </c>
      <c r="C118" s="75" t="s">
        <v>235</v>
      </c>
      <c r="D118" s="75"/>
      <c r="E118" s="75" t="s">
        <v>236</v>
      </c>
      <c r="F118" s="76">
        <v>3.3</v>
      </c>
      <c r="G118" s="76">
        <v>0</v>
      </c>
      <c r="H118" s="75" t="s">
        <v>148</v>
      </c>
      <c r="I118" s="75" t="s">
        <v>110</v>
      </c>
      <c r="J118" s="75">
        <v>2025</v>
      </c>
      <c r="K118" s="75"/>
    </row>
    <row r="119" spans="1:11" ht="270" customHeight="1" x14ac:dyDescent="0.25">
      <c r="A119" s="74" t="s">
        <v>22</v>
      </c>
      <c r="B119" s="74" t="s">
        <v>220</v>
      </c>
      <c r="C119" s="75" t="s">
        <v>239</v>
      </c>
      <c r="D119" s="75"/>
      <c r="E119" s="75" t="s">
        <v>240</v>
      </c>
      <c r="F119" s="76">
        <v>3.3</v>
      </c>
      <c r="G119" s="76">
        <v>0</v>
      </c>
      <c r="H119" s="75" t="s">
        <v>148</v>
      </c>
      <c r="I119" s="75" t="s">
        <v>110</v>
      </c>
      <c r="J119" s="75">
        <v>2025</v>
      </c>
      <c r="K119" s="75"/>
    </row>
    <row r="120" spans="1:11" ht="270" customHeight="1" x14ac:dyDescent="0.25">
      <c r="A120" s="74" t="s">
        <v>22</v>
      </c>
      <c r="B120" s="74" t="s">
        <v>220</v>
      </c>
      <c r="C120" s="75" t="s">
        <v>241</v>
      </c>
      <c r="D120" s="75"/>
      <c r="E120" s="75" t="s">
        <v>242</v>
      </c>
      <c r="F120" s="76">
        <v>3.3</v>
      </c>
      <c r="G120" s="76">
        <v>0</v>
      </c>
      <c r="H120" s="75" t="s">
        <v>148</v>
      </c>
      <c r="I120" s="75" t="s">
        <v>110</v>
      </c>
      <c r="J120" s="75">
        <v>2025</v>
      </c>
      <c r="K120" s="75"/>
    </row>
    <row r="121" spans="1:11" ht="270" customHeight="1" x14ac:dyDescent="0.25">
      <c r="A121" s="74" t="s">
        <v>22</v>
      </c>
      <c r="B121" s="74" t="s">
        <v>220</v>
      </c>
      <c r="C121" s="75" t="s">
        <v>243</v>
      </c>
      <c r="D121" s="75"/>
      <c r="E121" s="75" t="s">
        <v>244</v>
      </c>
      <c r="F121" s="76">
        <v>3.3</v>
      </c>
      <c r="G121" s="76">
        <v>0</v>
      </c>
      <c r="H121" s="75" t="s">
        <v>148</v>
      </c>
      <c r="I121" s="75" t="s">
        <v>110</v>
      </c>
      <c r="J121" s="75">
        <v>2025</v>
      </c>
      <c r="K121" s="75"/>
    </row>
    <row r="122" spans="1:11" ht="270" customHeight="1" x14ac:dyDescent="0.25">
      <c r="A122" s="74" t="s">
        <v>22</v>
      </c>
      <c r="B122" s="74" t="s">
        <v>220</v>
      </c>
      <c r="C122" s="75" t="s">
        <v>245</v>
      </c>
      <c r="D122" s="75"/>
      <c r="E122" s="75" t="s">
        <v>246</v>
      </c>
      <c r="F122" s="76">
        <v>3.3</v>
      </c>
      <c r="G122" s="76">
        <v>0</v>
      </c>
      <c r="H122" s="75" t="s">
        <v>148</v>
      </c>
      <c r="I122" s="75" t="s">
        <v>110</v>
      </c>
      <c r="J122" s="75">
        <v>2025</v>
      </c>
      <c r="K122" s="75"/>
    </row>
    <row r="123" spans="1:11" ht="270" customHeight="1" x14ac:dyDescent="0.25">
      <c r="A123" s="74" t="s">
        <v>22</v>
      </c>
      <c r="B123" s="74" t="s">
        <v>220</v>
      </c>
      <c r="C123" s="75" t="s">
        <v>247</v>
      </c>
      <c r="D123" s="75"/>
      <c r="E123" s="75" t="s">
        <v>248</v>
      </c>
      <c r="F123" s="76">
        <v>3.3</v>
      </c>
      <c r="G123" s="76">
        <v>0</v>
      </c>
      <c r="H123" s="75" t="s">
        <v>148</v>
      </c>
      <c r="I123" s="75" t="s">
        <v>110</v>
      </c>
      <c r="J123" s="75">
        <v>2025</v>
      </c>
      <c r="K123" s="75"/>
    </row>
    <row r="124" spans="1:11" ht="270" customHeight="1" x14ac:dyDescent="0.25">
      <c r="A124" s="74" t="s">
        <v>22</v>
      </c>
      <c r="B124" s="74" t="s">
        <v>220</v>
      </c>
      <c r="C124" s="75" t="s">
        <v>249</v>
      </c>
      <c r="D124" s="75"/>
      <c r="E124" s="75" t="s">
        <v>250</v>
      </c>
      <c r="F124" s="76">
        <v>3.3</v>
      </c>
      <c r="G124" s="76">
        <v>0</v>
      </c>
      <c r="H124" s="75" t="s">
        <v>148</v>
      </c>
      <c r="I124" s="75" t="s">
        <v>110</v>
      </c>
      <c r="J124" s="75">
        <v>2025</v>
      </c>
      <c r="K124" s="75"/>
    </row>
    <row r="125" spans="1:11" ht="270" customHeight="1" x14ac:dyDescent="0.25">
      <c r="A125" s="74" t="s">
        <v>22</v>
      </c>
      <c r="B125" s="74" t="s">
        <v>220</v>
      </c>
      <c r="C125" s="75" t="s">
        <v>251</v>
      </c>
      <c r="D125" s="75"/>
      <c r="E125" s="75" t="s">
        <v>252</v>
      </c>
      <c r="F125" s="76">
        <v>3.3</v>
      </c>
      <c r="G125" s="76">
        <v>0</v>
      </c>
      <c r="H125" s="75" t="s">
        <v>148</v>
      </c>
      <c r="I125" s="75" t="s">
        <v>110</v>
      </c>
      <c r="J125" s="75">
        <v>2025</v>
      </c>
      <c r="K125" s="75"/>
    </row>
    <row r="126" spans="1:11" ht="270" customHeight="1" x14ac:dyDescent="0.25">
      <c r="A126" s="74" t="s">
        <v>22</v>
      </c>
      <c r="B126" s="74" t="s">
        <v>220</v>
      </c>
      <c r="C126" s="75" t="s">
        <v>253</v>
      </c>
      <c r="D126" s="75"/>
      <c r="E126" s="75" t="s">
        <v>254</v>
      </c>
      <c r="F126" s="76">
        <v>3.3</v>
      </c>
      <c r="G126" s="76">
        <v>0</v>
      </c>
      <c r="H126" s="75" t="s">
        <v>148</v>
      </c>
      <c r="I126" s="75" t="s">
        <v>110</v>
      </c>
      <c r="J126" s="75">
        <v>2025</v>
      </c>
      <c r="K126" s="75"/>
    </row>
    <row r="127" spans="1:11" ht="270" customHeight="1" x14ac:dyDescent="0.25">
      <c r="A127" s="74" t="s">
        <v>22</v>
      </c>
      <c r="B127" s="74" t="s">
        <v>220</v>
      </c>
      <c r="C127" s="75" t="s">
        <v>255</v>
      </c>
      <c r="D127" s="75"/>
      <c r="E127" s="75" t="s">
        <v>256</v>
      </c>
      <c r="F127" s="76">
        <v>3.3</v>
      </c>
      <c r="G127" s="76">
        <v>0</v>
      </c>
      <c r="H127" s="75" t="s">
        <v>148</v>
      </c>
      <c r="I127" s="75" t="s">
        <v>110</v>
      </c>
      <c r="J127" s="75">
        <v>2025</v>
      </c>
      <c r="K127" s="75"/>
    </row>
    <row r="128" spans="1:11" ht="270" customHeight="1" x14ac:dyDescent="0.25">
      <c r="A128" s="74" t="s">
        <v>22</v>
      </c>
      <c r="B128" s="74" t="s">
        <v>220</v>
      </c>
      <c r="C128" s="75" t="s">
        <v>257</v>
      </c>
      <c r="D128" s="75"/>
      <c r="E128" s="75" t="s">
        <v>258</v>
      </c>
      <c r="F128" s="76">
        <v>3.3</v>
      </c>
      <c r="G128" s="76">
        <v>0</v>
      </c>
      <c r="H128" s="75" t="s">
        <v>148</v>
      </c>
      <c r="I128" s="75" t="s">
        <v>110</v>
      </c>
      <c r="J128" s="75">
        <v>2025</v>
      </c>
      <c r="K128" s="75"/>
    </row>
    <row r="129" spans="1:11" ht="270" customHeight="1" x14ac:dyDescent="0.25">
      <c r="A129" s="74" t="s">
        <v>22</v>
      </c>
      <c r="B129" s="74" t="s">
        <v>220</v>
      </c>
      <c r="C129" s="75" t="s">
        <v>259</v>
      </c>
      <c r="D129" s="75"/>
      <c r="E129" s="75" t="s">
        <v>260</v>
      </c>
      <c r="F129" s="76">
        <v>3.3</v>
      </c>
      <c r="G129" s="76">
        <v>0</v>
      </c>
      <c r="H129" s="75" t="s">
        <v>148</v>
      </c>
      <c r="I129" s="75" t="s">
        <v>110</v>
      </c>
      <c r="J129" s="75">
        <v>2025</v>
      </c>
      <c r="K129" s="75"/>
    </row>
    <row r="130" spans="1:11" ht="270" customHeight="1" x14ac:dyDescent="0.25">
      <c r="A130" s="74" t="s">
        <v>22</v>
      </c>
      <c r="B130" s="74" t="s">
        <v>220</v>
      </c>
      <c r="C130" s="75" t="s">
        <v>261</v>
      </c>
      <c r="D130" s="75"/>
      <c r="E130" s="75" t="s">
        <v>262</v>
      </c>
      <c r="F130" s="76">
        <v>3.3</v>
      </c>
      <c r="G130" s="76">
        <v>0</v>
      </c>
      <c r="H130" s="75" t="s">
        <v>148</v>
      </c>
      <c r="I130" s="75" t="s">
        <v>110</v>
      </c>
      <c r="J130" s="75">
        <v>2025</v>
      </c>
      <c r="K130" s="75"/>
    </row>
    <row r="131" spans="1:11" ht="270" customHeight="1" x14ac:dyDescent="0.25">
      <c r="A131" s="74" t="s">
        <v>22</v>
      </c>
      <c r="B131" s="74" t="s">
        <v>220</v>
      </c>
      <c r="C131" s="75" t="s">
        <v>263</v>
      </c>
      <c r="D131" s="75"/>
      <c r="E131" s="75" t="s">
        <v>264</v>
      </c>
      <c r="F131" s="76">
        <v>3.3</v>
      </c>
      <c r="G131" s="76">
        <v>0</v>
      </c>
      <c r="H131" s="75" t="s">
        <v>148</v>
      </c>
      <c r="I131" s="75" t="s">
        <v>110</v>
      </c>
      <c r="J131" s="75">
        <v>2025</v>
      </c>
      <c r="K131" s="75"/>
    </row>
    <row r="132" spans="1:11" ht="270" customHeight="1" x14ac:dyDescent="0.25">
      <c r="A132" s="74" t="s">
        <v>22</v>
      </c>
      <c r="B132" s="74" t="s">
        <v>265</v>
      </c>
      <c r="C132" s="75" t="s">
        <v>266</v>
      </c>
      <c r="D132" s="75"/>
      <c r="E132" s="75" t="s">
        <v>267</v>
      </c>
      <c r="F132" s="76">
        <v>5</v>
      </c>
      <c r="G132" s="76">
        <v>0</v>
      </c>
      <c r="H132" s="75"/>
      <c r="I132" s="75"/>
      <c r="J132" s="75"/>
      <c r="K132" s="75"/>
    </row>
    <row r="133" spans="1:11" ht="270" customHeight="1" x14ac:dyDescent="0.25">
      <c r="A133" s="74" t="s">
        <v>22</v>
      </c>
      <c r="B133" s="74" t="s">
        <v>265</v>
      </c>
      <c r="C133" s="75" t="s">
        <v>268</v>
      </c>
      <c r="D133" s="75"/>
      <c r="E133" s="75" t="s">
        <v>269</v>
      </c>
      <c r="F133" s="76">
        <v>5</v>
      </c>
      <c r="G133" s="76">
        <v>0</v>
      </c>
      <c r="H133" s="75"/>
      <c r="I133" s="75"/>
      <c r="J133" s="75"/>
      <c r="K133" s="75"/>
    </row>
    <row r="134" spans="1:11" ht="270" customHeight="1" x14ac:dyDescent="0.25">
      <c r="A134" s="74" t="s">
        <v>22</v>
      </c>
      <c r="B134" s="74" t="s">
        <v>265</v>
      </c>
      <c r="C134" s="75" t="s">
        <v>270</v>
      </c>
      <c r="D134" s="75"/>
      <c r="E134" s="75" t="s">
        <v>271</v>
      </c>
      <c r="F134" s="76">
        <v>5</v>
      </c>
      <c r="G134" s="76">
        <v>0</v>
      </c>
      <c r="H134" s="75"/>
      <c r="I134" s="75"/>
      <c r="J134" s="75"/>
      <c r="K134" s="75"/>
    </row>
    <row r="135" spans="1:11" ht="270" customHeight="1" x14ac:dyDescent="0.25">
      <c r="A135" s="74" t="s">
        <v>22</v>
      </c>
      <c r="B135" s="74" t="s">
        <v>265</v>
      </c>
      <c r="C135" s="75" t="s">
        <v>272</v>
      </c>
      <c r="D135" s="75"/>
      <c r="E135" s="75" t="s">
        <v>273</v>
      </c>
      <c r="F135" s="76">
        <v>5</v>
      </c>
      <c r="G135" s="76">
        <v>0</v>
      </c>
      <c r="H135" s="75"/>
      <c r="I135" s="75"/>
      <c r="J135" s="75"/>
      <c r="K135" s="75"/>
    </row>
    <row r="136" spans="1:11" ht="270" customHeight="1" x14ac:dyDescent="0.25">
      <c r="A136" s="74" t="s">
        <v>22</v>
      </c>
      <c r="B136" s="74" t="s">
        <v>265</v>
      </c>
      <c r="C136" s="75" t="s">
        <v>274</v>
      </c>
      <c r="D136" s="75"/>
      <c r="E136" s="75" t="s">
        <v>275</v>
      </c>
      <c r="F136" s="76">
        <v>5</v>
      </c>
      <c r="G136" s="76">
        <v>0</v>
      </c>
      <c r="H136" s="75"/>
      <c r="I136" s="75"/>
      <c r="J136" s="75"/>
      <c r="K136" s="75"/>
    </row>
    <row r="137" spans="1:11" ht="270" customHeight="1" x14ac:dyDescent="0.25">
      <c r="A137" s="74" t="s">
        <v>22</v>
      </c>
      <c r="B137" s="74" t="s">
        <v>276</v>
      </c>
      <c r="C137" s="75" t="s">
        <v>277</v>
      </c>
      <c r="D137" s="75"/>
      <c r="E137" s="75" t="s">
        <v>278</v>
      </c>
      <c r="F137" s="76">
        <v>5</v>
      </c>
      <c r="G137" s="76">
        <v>0</v>
      </c>
      <c r="H137" s="75"/>
      <c r="I137" s="75"/>
      <c r="J137" s="75"/>
      <c r="K137" s="75"/>
    </row>
    <row r="138" spans="1:11" ht="270" customHeight="1" x14ac:dyDescent="0.25">
      <c r="A138" s="74" t="s">
        <v>22</v>
      </c>
      <c r="B138" s="74" t="s">
        <v>276</v>
      </c>
      <c r="C138" s="75" t="s">
        <v>279</v>
      </c>
      <c r="D138" s="75"/>
      <c r="E138" s="75" t="s">
        <v>280</v>
      </c>
      <c r="F138" s="76">
        <v>5</v>
      </c>
      <c r="G138" s="76">
        <v>0</v>
      </c>
      <c r="H138" s="75"/>
      <c r="I138" s="75"/>
      <c r="J138" s="75"/>
      <c r="K138" s="75"/>
    </row>
    <row r="139" spans="1:11" ht="270" customHeight="1" x14ac:dyDescent="0.25">
      <c r="A139" s="74" t="s">
        <v>22</v>
      </c>
      <c r="B139" s="74" t="s">
        <v>276</v>
      </c>
      <c r="C139" s="75" t="s">
        <v>281</v>
      </c>
      <c r="D139" s="75"/>
      <c r="E139" s="75" t="s">
        <v>282</v>
      </c>
      <c r="F139" s="76">
        <v>5</v>
      </c>
      <c r="G139" s="76">
        <v>0</v>
      </c>
      <c r="H139" s="75"/>
      <c r="I139" s="75"/>
      <c r="J139" s="75"/>
      <c r="K139" s="75"/>
    </row>
    <row r="140" spans="1:11" ht="270" customHeight="1" x14ac:dyDescent="0.25">
      <c r="A140" s="74" t="s">
        <v>22</v>
      </c>
      <c r="B140" s="74" t="s">
        <v>276</v>
      </c>
      <c r="C140" s="75" t="s">
        <v>283</v>
      </c>
      <c r="D140" s="75"/>
      <c r="E140" s="75" t="s">
        <v>284</v>
      </c>
      <c r="F140" s="76">
        <v>5</v>
      </c>
      <c r="G140" s="76">
        <v>0</v>
      </c>
      <c r="H140" s="75"/>
      <c r="I140" s="75"/>
      <c r="J140" s="75"/>
      <c r="K140" s="75"/>
    </row>
    <row r="141" spans="1:11" ht="270" customHeight="1" x14ac:dyDescent="0.25">
      <c r="A141" s="74" t="s">
        <v>22</v>
      </c>
      <c r="B141" s="74" t="s">
        <v>276</v>
      </c>
      <c r="C141" s="75" t="s">
        <v>285</v>
      </c>
      <c r="D141" s="75"/>
      <c r="E141" s="75" t="s">
        <v>286</v>
      </c>
      <c r="F141" s="76">
        <v>5</v>
      </c>
      <c r="G141" s="76">
        <v>0</v>
      </c>
      <c r="H141" s="75"/>
      <c r="I141" s="75"/>
      <c r="J141" s="75"/>
      <c r="K141" s="75"/>
    </row>
    <row r="142" spans="1:11" ht="270" customHeight="1" x14ac:dyDescent="0.25">
      <c r="A142" s="74" t="s">
        <v>22</v>
      </c>
      <c r="B142" s="74" t="s">
        <v>276</v>
      </c>
      <c r="C142" s="75" t="s">
        <v>287</v>
      </c>
      <c r="D142" s="75"/>
      <c r="E142" s="75" t="s">
        <v>288</v>
      </c>
      <c r="F142" s="76">
        <v>5</v>
      </c>
      <c r="G142" s="76">
        <v>0</v>
      </c>
      <c r="H142" s="75"/>
      <c r="I142" s="75"/>
      <c r="J142" s="75"/>
      <c r="K142" s="75"/>
    </row>
    <row r="143" spans="1:11" ht="270" customHeight="1" x14ac:dyDescent="0.25">
      <c r="A143" s="74" t="s">
        <v>22</v>
      </c>
      <c r="B143" s="74" t="s">
        <v>276</v>
      </c>
      <c r="C143" s="75" t="s">
        <v>289</v>
      </c>
      <c r="D143" s="75"/>
      <c r="E143" s="75" t="s">
        <v>290</v>
      </c>
      <c r="F143" s="76">
        <v>5</v>
      </c>
      <c r="G143" s="76">
        <v>0</v>
      </c>
      <c r="H143" s="75"/>
      <c r="I143" s="75"/>
      <c r="J143" s="75"/>
      <c r="K143" s="75"/>
    </row>
    <row r="144" spans="1:11" ht="270" customHeight="1" x14ac:dyDescent="0.25">
      <c r="A144" s="74" t="s">
        <v>22</v>
      </c>
      <c r="B144" s="74" t="s">
        <v>276</v>
      </c>
      <c r="C144" s="75" t="s">
        <v>291</v>
      </c>
      <c r="D144" s="75"/>
      <c r="E144" s="75" t="s">
        <v>292</v>
      </c>
      <c r="F144" s="76">
        <v>5</v>
      </c>
      <c r="G144" s="76">
        <v>0</v>
      </c>
      <c r="H144" s="75"/>
      <c r="I144" s="75"/>
      <c r="J144" s="75"/>
      <c r="K144" s="75"/>
    </row>
    <row r="145" spans="1:11" ht="270" customHeight="1" x14ac:dyDescent="0.25">
      <c r="A145" s="74" t="s">
        <v>22</v>
      </c>
      <c r="B145" s="74" t="s">
        <v>293</v>
      </c>
      <c r="C145" s="75" t="s">
        <v>294</v>
      </c>
      <c r="D145" s="75"/>
      <c r="E145" s="75" t="s">
        <v>295</v>
      </c>
      <c r="F145" s="76">
        <v>3.3</v>
      </c>
      <c r="G145" s="76">
        <v>0</v>
      </c>
      <c r="H145" s="75" t="s">
        <v>148</v>
      </c>
      <c r="I145" s="75" t="s">
        <v>110</v>
      </c>
      <c r="J145" s="75">
        <v>2025</v>
      </c>
      <c r="K145" s="75"/>
    </row>
    <row r="146" spans="1:11" ht="270" customHeight="1" x14ac:dyDescent="0.25">
      <c r="A146" s="74" t="s">
        <v>22</v>
      </c>
      <c r="B146" s="74" t="s">
        <v>293</v>
      </c>
      <c r="C146" s="75" t="s">
        <v>296</v>
      </c>
      <c r="D146" s="75"/>
      <c r="E146" s="75" t="s">
        <v>297</v>
      </c>
      <c r="F146" s="76">
        <v>3.3</v>
      </c>
      <c r="G146" s="76">
        <v>0</v>
      </c>
      <c r="H146" s="75" t="s">
        <v>148</v>
      </c>
      <c r="I146" s="75" t="s">
        <v>110</v>
      </c>
      <c r="J146" s="75">
        <v>2025</v>
      </c>
      <c r="K146" s="75"/>
    </row>
    <row r="147" spans="1:11" ht="270" customHeight="1" x14ac:dyDescent="0.25">
      <c r="A147" s="74" t="s">
        <v>22</v>
      </c>
      <c r="B147" s="74" t="s">
        <v>293</v>
      </c>
      <c r="C147" s="75" t="s">
        <v>298</v>
      </c>
      <c r="D147" s="75"/>
      <c r="E147" s="75" t="s">
        <v>299</v>
      </c>
      <c r="F147" s="76">
        <v>3.3</v>
      </c>
      <c r="G147" s="76">
        <v>0</v>
      </c>
      <c r="H147" s="75" t="s">
        <v>148</v>
      </c>
      <c r="I147" s="75" t="s">
        <v>110</v>
      </c>
      <c r="J147" s="75">
        <v>2025</v>
      </c>
      <c r="K147" s="75"/>
    </row>
    <row r="148" spans="1:11" ht="270" customHeight="1" x14ac:dyDescent="0.25">
      <c r="A148" s="74" t="s">
        <v>22</v>
      </c>
      <c r="B148" s="74" t="s">
        <v>293</v>
      </c>
      <c r="C148" s="75" t="s">
        <v>300</v>
      </c>
      <c r="D148" s="75"/>
      <c r="E148" s="75" t="s">
        <v>301</v>
      </c>
      <c r="F148" s="76">
        <v>3.3</v>
      </c>
      <c r="G148" s="76">
        <v>0</v>
      </c>
      <c r="H148" s="75" t="s">
        <v>148</v>
      </c>
      <c r="I148" s="75" t="s">
        <v>110</v>
      </c>
      <c r="J148" s="75">
        <v>2025</v>
      </c>
      <c r="K148" s="75"/>
    </row>
    <row r="149" spans="1:11" ht="270" customHeight="1" x14ac:dyDescent="0.25">
      <c r="A149" s="74" t="s">
        <v>22</v>
      </c>
      <c r="B149" s="74" t="s">
        <v>293</v>
      </c>
      <c r="C149" s="75" t="s">
        <v>302</v>
      </c>
      <c r="D149" s="75"/>
      <c r="E149" s="75" t="s">
        <v>303</v>
      </c>
      <c r="F149" s="76">
        <v>3.3</v>
      </c>
      <c r="G149" s="76">
        <v>0</v>
      </c>
      <c r="H149" s="75" t="s">
        <v>148</v>
      </c>
      <c r="I149" s="75" t="s">
        <v>110</v>
      </c>
      <c r="J149" s="75">
        <v>2025</v>
      </c>
      <c r="K149" s="75"/>
    </row>
    <row r="150" spans="1:11" ht="270" customHeight="1" x14ac:dyDescent="0.25">
      <c r="A150" s="74" t="s">
        <v>22</v>
      </c>
      <c r="B150" s="74" t="s">
        <v>293</v>
      </c>
      <c r="C150" s="75" t="s">
        <v>304</v>
      </c>
      <c r="D150" s="75"/>
      <c r="E150" s="75" t="s">
        <v>305</v>
      </c>
      <c r="F150" s="76">
        <v>3.3</v>
      </c>
      <c r="G150" s="76">
        <v>0</v>
      </c>
      <c r="H150" s="75" t="s">
        <v>148</v>
      </c>
      <c r="I150" s="75" t="s">
        <v>110</v>
      </c>
      <c r="J150" s="75">
        <v>2025</v>
      </c>
      <c r="K150" s="75"/>
    </row>
    <row r="151" spans="1:11" ht="270" customHeight="1" x14ac:dyDescent="0.25">
      <c r="A151" s="74" t="s">
        <v>22</v>
      </c>
      <c r="B151" s="74" t="s">
        <v>293</v>
      </c>
      <c r="C151" s="75" t="s">
        <v>949</v>
      </c>
      <c r="D151" s="75" t="s">
        <v>950</v>
      </c>
      <c r="E151" s="75" t="s">
        <v>951</v>
      </c>
      <c r="F151" s="76">
        <v>3.3</v>
      </c>
      <c r="G151" s="76">
        <v>0</v>
      </c>
      <c r="H151" s="75" t="s">
        <v>148</v>
      </c>
      <c r="I151" s="75" t="s">
        <v>110</v>
      </c>
      <c r="J151" s="75">
        <v>2025</v>
      </c>
      <c r="K151" s="75"/>
    </row>
    <row r="152" spans="1:11" ht="270" customHeight="1" x14ac:dyDescent="0.25">
      <c r="A152" s="74" t="s">
        <v>22</v>
      </c>
      <c r="B152" s="74" t="s">
        <v>306</v>
      </c>
      <c r="C152" s="75" t="s">
        <v>307</v>
      </c>
      <c r="D152" s="75"/>
      <c r="E152" s="75" t="s">
        <v>308</v>
      </c>
      <c r="F152" s="76">
        <v>5</v>
      </c>
      <c r="G152" s="76">
        <v>0</v>
      </c>
      <c r="H152" s="75" t="s">
        <v>309</v>
      </c>
      <c r="I152" s="75"/>
      <c r="J152" s="75"/>
      <c r="K152" s="75"/>
    </row>
    <row r="153" spans="1:11" ht="270" customHeight="1" x14ac:dyDescent="0.25">
      <c r="A153" s="74" t="s">
        <v>22</v>
      </c>
      <c r="B153" s="74" t="s">
        <v>306</v>
      </c>
      <c r="C153" s="75" t="s">
        <v>310</v>
      </c>
      <c r="D153" s="75"/>
      <c r="E153" s="75" t="s">
        <v>311</v>
      </c>
      <c r="F153" s="76">
        <v>5</v>
      </c>
      <c r="G153" s="76">
        <v>0</v>
      </c>
      <c r="H153" s="75" t="s">
        <v>309</v>
      </c>
      <c r="I153" s="75"/>
      <c r="J153" s="75"/>
      <c r="K153" s="75"/>
    </row>
    <row r="154" spans="1:11" ht="270" customHeight="1" x14ac:dyDescent="0.25">
      <c r="A154" s="74" t="s">
        <v>22</v>
      </c>
      <c r="B154" s="74" t="s">
        <v>306</v>
      </c>
      <c r="C154" s="75" t="s">
        <v>312</v>
      </c>
      <c r="D154" s="75"/>
      <c r="E154" s="75" t="s">
        <v>313</v>
      </c>
      <c r="F154" s="76">
        <v>5</v>
      </c>
      <c r="G154" s="76">
        <v>0</v>
      </c>
      <c r="H154" s="75" t="s">
        <v>309</v>
      </c>
      <c r="I154" s="75"/>
      <c r="J154" s="75"/>
      <c r="K154" s="75"/>
    </row>
    <row r="155" spans="1:11" ht="270" customHeight="1" x14ac:dyDescent="0.25">
      <c r="A155" s="74" t="s">
        <v>22</v>
      </c>
      <c r="B155" s="74" t="s">
        <v>306</v>
      </c>
      <c r="C155" s="75" t="s">
        <v>314</v>
      </c>
      <c r="D155" s="75"/>
      <c r="E155" s="75" t="s">
        <v>315</v>
      </c>
      <c r="F155" s="76">
        <v>5</v>
      </c>
      <c r="G155" s="76">
        <v>0</v>
      </c>
      <c r="H155" s="75" t="s">
        <v>309</v>
      </c>
      <c r="I155" s="75"/>
      <c r="J155" s="75"/>
      <c r="K155" s="75"/>
    </row>
    <row r="156" spans="1:11" ht="270" customHeight="1" x14ac:dyDescent="0.25">
      <c r="A156" s="74" t="s">
        <v>22</v>
      </c>
      <c r="B156" s="74" t="s">
        <v>306</v>
      </c>
      <c r="C156" s="75" t="s">
        <v>316</v>
      </c>
      <c r="D156" s="75"/>
      <c r="E156" s="75" t="s">
        <v>317</v>
      </c>
      <c r="F156" s="76">
        <v>5</v>
      </c>
      <c r="G156" s="76">
        <v>0</v>
      </c>
      <c r="H156" s="75" t="s">
        <v>309</v>
      </c>
      <c r="I156" s="75"/>
      <c r="J156" s="75"/>
      <c r="K156" s="75"/>
    </row>
    <row r="157" spans="1:11" ht="270" customHeight="1" x14ac:dyDescent="0.25">
      <c r="A157" s="74" t="s">
        <v>22</v>
      </c>
      <c r="B157" s="74" t="s">
        <v>306</v>
      </c>
      <c r="C157" s="75" t="s">
        <v>318</v>
      </c>
      <c r="D157" s="75"/>
      <c r="E157" s="75" t="s">
        <v>319</v>
      </c>
      <c r="F157" s="76">
        <v>5</v>
      </c>
      <c r="G157" s="76">
        <v>0</v>
      </c>
      <c r="H157" s="75" t="s">
        <v>309</v>
      </c>
      <c r="I157" s="75"/>
      <c r="J157" s="75"/>
      <c r="K157" s="75"/>
    </row>
    <row r="158" spans="1:11" ht="270" customHeight="1" x14ac:dyDescent="0.25">
      <c r="A158" s="74" t="s">
        <v>22</v>
      </c>
      <c r="B158" s="74" t="s">
        <v>306</v>
      </c>
      <c r="C158" s="75" t="s">
        <v>320</v>
      </c>
      <c r="D158" s="75"/>
      <c r="E158" s="75" t="s">
        <v>321</v>
      </c>
      <c r="F158" s="76">
        <v>5</v>
      </c>
      <c r="G158" s="76">
        <v>0</v>
      </c>
      <c r="H158" s="75" t="s">
        <v>309</v>
      </c>
      <c r="I158" s="75"/>
      <c r="J158" s="75"/>
      <c r="K158" s="75"/>
    </row>
    <row r="159" spans="1:11" ht="270" customHeight="1" x14ac:dyDescent="0.25">
      <c r="A159" s="74" t="s">
        <v>22</v>
      </c>
      <c r="B159" s="74" t="s">
        <v>306</v>
      </c>
      <c r="C159" s="75" t="s">
        <v>322</v>
      </c>
      <c r="D159" s="75"/>
      <c r="E159" s="75" t="s">
        <v>323</v>
      </c>
      <c r="F159" s="76">
        <v>5</v>
      </c>
      <c r="G159" s="76">
        <v>0</v>
      </c>
      <c r="H159" s="75" t="s">
        <v>309</v>
      </c>
      <c r="I159" s="75"/>
      <c r="J159" s="75"/>
      <c r="K159" s="75"/>
    </row>
    <row r="160" spans="1:11" ht="270" customHeight="1" x14ac:dyDescent="0.25">
      <c r="A160" s="74" t="s">
        <v>22</v>
      </c>
      <c r="B160" s="74" t="s">
        <v>306</v>
      </c>
      <c r="C160" s="75" t="s">
        <v>324</v>
      </c>
      <c r="D160" s="75"/>
      <c r="E160" s="75" t="s">
        <v>325</v>
      </c>
      <c r="F160" s="76">
        <v>5</v>
      </c>
      <c r="G160" s="76">
        <v>0</v>
      </c>
      <c r="H160" s="75" t="s">
        <v>309</v>
      </c>
      <c r="I160" s="75"/>
      <c r="J160" s="75"/>
      <c r="K160" s="75"/>
    </row>
    <row r="161" spans="1:11" ht="270" customHeight="1" x14ac:dyDescent="0.25">
      <c r="A161" s="74" t="s">
        <v>22</v>
      </c>
      <c r="B161" s="74" t="s">
        <v>306</v>
      </c>
      <c r="C161" s="75" t="s">
        <v>958</v>
      </c>
      <c r="D161" s="75" t="s">
        <v>959</v>
      </c>
      <c r="E161" s="75" t="s">
        <v>960</v>
      </c>
      <c r="F161" s="76">
        <v>5</v>
      </c>
      <c r="G161" s="76">
        <v>0</v>
      </c>
      <c r="H161" s="75" t="s">
        <v>309</v>
      </c>
      <c r="I161" s="75"/>
      <c r="J161" s="75"/>
      <c r="K161" s="75"/>
    </row>
    <row r="162" spans="1:11" ht="270" customHeight="1" x14ac:dyDescent="0.25">
      <c r="A162" s="74" t="s">
        <v>22</v>
      </c>
      <c r="B162" s="74" t="s">
        <v>306</v>
      </c>
      <c r="C162" s="75" t="s">
        <v>326</v>
      </c>
      <c r="D162" s="75"/>
      <c r="E162" s="75" t="s">
        <v>327</v>
      </c>
      <c r="F162" s="76">
        <v>5</v>
      </c>
      <c r="G162" s="76">
        <v>0</v>
      </c>
      <c r="H162" s="75" t="s">
        <v>309</v>
      </c>
      <c r="I162" s="75"/>
      <c r="J162" s="75"/>
      <c r="K162" s="75"/>
    </row>
    <row r="163" spans="1:11" ht="270" customHeight="1" x14ac:dyDescent="0.25">
      <c r="A163" s="74" t="s">
        <v>22</v>
      </c>
      <c r="B163" s="74" t="s">
        <v>306</v>
      </c>
      <c r="C163" s="75" t="s">
        <v>328</v>
      </c>
      <c r="D163" s="75"/>
      <c r="E163" s="75" t="s">
        <v>329</v>
      </c>
      <c r="F163" s="76">
        <v>5</v>
      </c>
      <c r="G163" s="76">
        <v>0</v>
      </c>
      <c r="H163" s="75" t="s">
        <v>309</v>
      </c>
      <c r="I163" s="75"/>
      <c r="J163" s="75"/>
      <c r="K163" s="75"/>
    </row>
    <row r="164" spans="1:11" ht="270" customHeight="1" x14ac:dyDescent="0.25">
      <c r="A164" s="74" t="s">
        <v>22</v>
      </c>
      <c r="B164" s="74" t="s">
        <v>330</v>
      </c>
      <c r="C164" s="75" t="s">
        <v>331</v>
      </c>
      <c r="D164" s="75"/>
      <c r="E164" s="75" t="s">
        <v>332</v>
      </c>
      <c r="F164" s="76">
        <v>0</v>
      </c>
      <c r="G164" s="76">
        <v>0</v>
      </c>
      <c r="H164" s="75" t="s">
        <v>333</v>
      </c>
      <c r="I164" s="75"/>
      <c r="J164" s="75"/>
      <c r="K164" s="75"/>
    </row>
    <row r="165" spans="1:11" ht="270" customHeight="1" x14ac:dyDescent="0.25">
      <c r="A165" s="74" t="s">
        <v>22</v>
      </c>
      <c r="B165" s="74" t="s">
        <v>330</v>
      </c>
      <c r="C165" s="75" t="s">
        <v>334</v>
      </c>
      <c r="D165" s="75"/>
      <c r="E165" s="75" t="s">
        <v>335</v>
      </c>
      <c r="F165" s="76">
        <v>0</v>
      </c>
      <c r="G165" s="76">
        <v>0</v>
      </c>
      <c r="H165" s="75" t="s">
        <v>333</v>
      </c>
      <c r="I165" s="75"/>
      <c r="J165" s="75"/>
      <c r="K165" s="75"/>
    </row>
    <row r="166" spans="1:11" ht="270" customHeight="1" x14ac:dyDescent="0.25">
      <c r="A166" s="74" t="s">
        <v>22</v>
      </c>
      <c r="B166" s="74" t="s">
        <v>330</v>
      </c>
      <c r="C166" s="75" t="s">
        <v>336</v>
      </c>
      <c r="D166" s="75"/>
      <c r="E166" s="75" t="s">
        <v>337</v>
      </c>
      <c r="F166" s="76">
        <v>0</v>
      </c>
      <c r="G166" s="76">
        <v>0</v>
      </c>
      <c r="H166" s="75" t="s">
        <v>333</v>
      </c>
      <c r="I166" s="75"/>
      <c r="J166" s="75"/>
      <c r="K166" s="75"/>
    </row>
    <row r="167" spans="1:11" ht="270" customHeight="1" x14ac:dyDescent="0.25">
      <c r="A167" s="74" t="s">
        <v>22</v>
      </c>
      <c r="B167" s="74" t="s">
        <v>330</v>
      </c>
      <c r="C167" s="75" t="s">
        <v>338</v>
      </c>
      <c r="D167" s="75"/>
      <c r="E167" s="75" t="s">
        <v>339</v>
      </c>
      <c r="F167" s="76">
        <v>0</v>
      </c>
      <c r="G167" s="76">
        <v>0</v>
      </c>
      <c r="H167" s="75" t="s">
        <v>333</v>
      </c>
      <c r="I167" s="75"/>
      <c r="J167" s="75"/>
      <c r="K167" s="75"/>
    </row>
    <row r="168" spans="1:11" ht="270" customHeight="1" x14ac:dyDescent="0.25">
      <c r="A168" s="74" t="s">
        <v>22</v>
      </c>
      <c r="B168" s="74" t="s">
        <v>340</v>
      </c>
      <c r="C168" s="75" t="s">
        <v>341</v>
      </c>
      <c r="D168" s="75"/>
      <c r="E168" s="75" t="s">
        <v>342</v>
      </c>
      <c r="F168" s="76">
        <v>5</v>
      </c>
      <c r="G168" s="76">
        <v>0</v>
      </c>
      <c r="H168" s="75"/>
      <c r="I168" s="75"/>
      <c r="J168" s="75"/>
      <c r="K168" s="75"/>
    </row>
    <row r="169" spans="1:11" ht="270" customHeight="1" x14ac:dyDescent="0.25">
      <c r="A169" s="74" t="s">
        <v>22</v>
      </c>
      <c r="B169" s="74" t="s">
        <v>340</v>
      </c>
      <c r="C169" s="75" t="s">
        <v>343</v>
      </c>
      <c r="D169" s="75"/>
      <c r="E169" s="75" t="s">
        <v>344</v>
      </c>
      <c r="F169" s="76">
        <v>5</v>
      </c>
      <c r="G169" s="76">
        <v>0</v>
      </c>
      <c r="H169" s="75"/>
      <c r="I169" s="75"/>
      <c r="J169" s="75"/>
      <c r="K169" s="75"/>
    </row>
    <row r="170" spans="1:11" ht="270" customHeight="1" x14ac:dyDescent="0.25">
      <c r="A170" s="74" t="s">
        <v>22</v>
      </c>
      <c r="B170" s="74" t="s">
        <v>340</v>
      </c>
      <c r="C170" s="75" t="s">
        <v>345</v>
      </c>
      <c r="D170" s="75"/>
      <c r="E170" s="75" t="s">
        <v>346</v>
      </c>
      <c r="F170" s="76">
        <v>5</v>
      </c>
      <c r="G170" s="76">
        <v>0</v>
      </c>
      <c r="H170" s="75"/>
      <c r="I170" s="75"/>
      <c r="J170" s="75"/>
      <c r="K170" s="75"/>
    </row>
    <row r="171" spans="1:11" ht="270" customHeight="1" x14ac:dyDescent="0.25">
      <c r="A171" s="74" t="s">
        <v>22</v>
      </c>
      <c r="B171" s="74" t="s">
        <v>340</v>
      </c>
      <c r="C171" s="75" t="s">
        <v>347</v>
      </c>
      <c r="D171" s="75"/>
      <c r="E171" s="75" t="s">
        <v>348</v>
      </c>
      <c r="F171" s="76">
        <v>5</v>
      </c>
      <c r="G171" s="76">
        <v>0</v>
      </c>
      <c r="H171" s="75"/>
      <c r="I171" s="75"/>
      <c r="J171" s="75"/>
      <c r="K171" s="75"/>
    </row>
    <row r="172" spans="1:11" ht="270" customHeight="1" x14ac:dyDescent="0.25">
      <c r="A172" s="74" t="s">
        <v>22</v>
      </c>
      <c r="B172" s="74" t="s">
        <v>340</v>
      </c>
      <c r="C172" s="75" t="s">
        <v>349</v>
      </c>
      <c r="D172" s="75"/>
      <c r="E172" s="75" t="s">
        <v>350</v>
      </c>
      <c r="F172" s="76">
        <v>5</v>
      </c>
      <c r="G172" s="76">
        <v>0</v>
      </c>
      <c r="H172" s="75"/>
      <c r="I172" s="75"/>
      <c r="J172" s="75"/>
      <c r="K172" s="75"/>
    </row>
    <row r="173" spans="1:11" ht="270" customHeight="1" x14ac:dyDescent="0.25">
      <c r="A173" s="74" t="s">
        <v>22</v>
      </c>
      <c r="B173" s="74" t="s">
        <v>340</v>
      </c>
      <c r="C173" s="75" t="s">
        <v>351</v>
      </c>
      <c r="D173" s="75"/>
      <c r="E173" s="75" t="s">
        <v>352</v>
      </c>
      <c r="F173" s="76">
        <v>5</v>
      </c>
      <c r="G173" s="76">
        <v>0</v>
      </c>
      <c r="H173" s="75"/>
      <c r="I173" s="75"/>
      <c r="J173" s="75"/>
      <c r="K173" s="75"/>
    </row>
    <row r="174" spans="1:11" ht="270" customHeight="1" x14ac:dyDescent="0.25">
      <c r="A174" s="74" t="s">
        <v>22</v>
      </c>
      <c r="B174" s="74" t="s">
        <v>340</v>
      </c>
      <c r="C174" s="75" t="s">
        <v>353</v>
      </c>
      <c r="D174" s="75"/>
      <c r="E174" s="75" t="s">
        <v>354</v>
      </c>
      <c r="F174" s="76">
        <v>5</v>
      </c>
      <c r="G174" s="76">
        <v>0</v>
      </c>
      <c r="H174" s="75"/>
      <c r="I174" s="75"/>
      <c r="J174" s="75"/>
      <c r="K174" s="75"/>
    </row>
    <row r="175" spans="1:11" ht="270" customHeight="1" x14ac:dyDescent="0.25">
      <c r="A175" s="74" t="s">
        <v>22</v>
      </c>
      <c r="B175" s="74" t="s">
        <v>340</v>
      </c>
      <c r="C175" s="75" t="s">
        <v>355</v>
      </c>
      <c r="D175" s="75"/>
      <c r="E175" s="75" t="s">
        <v>356</v>
      </c>
      <c r="F175" s="76">
        <v>5</v>
      </c>
      <c r="G175" s="76">
        <v>0</v>
      </c>
      <c r="H175" s="75"/>
      <c r="I175" s="75"/>
      <c r="J175" s="75"/>
      <c r="K175" s="75"/>
    </row>
    <row r="176" spans="1:11" ht="270" customHeight="1" x14ac:dyDescent="0.25">
      <c r="A176" s="74" t="s">
        <v>23</v>
      </c>
      <c r="B176" s="74" t="s">
        <v>357</v>
      </c>
      <c r="C176" s="75" t="s">
        <v>358</v>
      </c>
      <c r="D176" s="75"/>
      <c r="E176" s="75" t="s">
        <v>359</v>
      </c>
      <c r="F176" s="76">
        <v>0</v>
      </c>
      <c r="G176" s="76">
        <v>0</v>
      </c>
      <c r="H176" s="75" t="s">
        <v>148</v>
      </c>
      <c r="I176" s="75" t="s">
        <v>110</v>
      </c>
      <c r="J176" s="75">
        <v>2025</v>
      </c>
      <c r="K176" s="75"/>
    </row>
    <row r="177" spans="1:11" ht="270" customHeight="1" x14ac:dyDescent="0.25">
      <c r="A177" s="74" t="s">
        <v>23</v>
      </c>
      <c r="B177" s="74" t="s">
        <v>357</v>
      </c>
      <c r="C177" s="75" t="s">
        <v>360</v>
      </c>
      <c r="D177" s="75"/>
      <c r="E177" s="75" t="s">
        <v>361</v>
      </c>
      <c r="F177" s="76">
        <v>0</v>
      </c>
      <c r="G177" s="76">
        <v>0</v>
      </c>
      <c r="H177" s="75" t="s">
        <v>148</v>
      </c>
      <c r="I177" s="75" t="s">
        <v>110</v>
      </c>
      <c r="J177" s="75">
        <v>2025</v>
      </c>
      <c r="K177" s="75"/>
    </row>
    <row r="178" spans="1:11" ht="270" customHeight="1" x14ac:dyDescent="0.25">
      <c r="A178" s="74" t="s">
        <v>23</v>
      </c>
      <c r="B178" s="74" t="s">
        <v>357</v>
      </c>
      <c r="C178" s="75" t="s">
        <v>949</v>
      </c>
      <c r="D178" s="75" t="s">
        <v>950</v>
      </c>
      <c r="E178" s="75" t="s">
        <v>951</v>
      </c>
      <c r="F178" s="76">
        <v>0</v>
      </c>
      <c r="G178" s="76">
        <v>0</v>
      </c>
      <c r="H178" s="75" t="s">
        <v>148</v>
      </c>
      <c r="I178" s="75" t="s">
        <v>110</v>
      </c>
      <c r="J178" s="75">
        <v>2025</v>
      </c>
      <c r="K178" s="75"/>
    </row>
    <row r="179" spans="1:11" ht="270" customHeight="1" x14ac:dyDescent="0.25">
      <c r="A179" s="74" t="s">
        <v>23</v>
      </c>
      <c r="B179" s="74" t="s">
        <v>357</v>
      </c>
      <c r="C179" s="75" t="s">
        <v>362</v>
      </c>
      <c r="D179" s="75"/>
      <c r="E179" s="75" t="s">
        <v>363</v>
      </c>
      <c r="F179" s="76">
        <v>0</v>
      </c>
      <c r="G179" s="76">
        <v>0</v>
      </c>
      <c r="H179" s="75" t="s">
        <v>148</v>
      </c>
      <c r="I179" s="75" t="s">
        <v>110</v>
      </c>
      <c r="J179" s="75">
        <v>2025</v>
      </c>
      <c r="K179" s="75"/>
    </row>
    <row r="180" spans="1:11" ht="270" customHeight="1" x14ac:dyDescent="0.25">
      <c r="A180" s="74" t="s">
        <v>23</v>
      </c>
      <c r="B180" s="74" t="s">
        <v>357</v>
      </c>
      <c r="C180" s="75" t="s">
        <v>364</v>
      </c>
      <c r="D180" s="75"/>
      <c r="E180" s="75" t="s">
        <v>365</v>
      </c>
      <c r="F180" s="76">
        <v>0</v>
      </c>
      <c r="G180" s="76">
        <v>0</v>
      </c>
      <c r="H180" s="75" t="s">
        <v>148</v>
      </c>
      <c r="I180" s="75" t="s">
        <v>110</v>
      </c>
      <c r="J180" s="75">
        <v>2025</v>
      </c>
      <c r="K180" s="75"/>
    </row>
    <row r="181" spans="1:11" ht="270" customHeight="1" x14ac:dyDescent="0.25">
      <c r="A181" s="74" t="s">
        <v>23</v>
      </c>
      <c r="B181" s="74" t="s">
        <v>357</v>
      </c>
      <c r="C181" s="75" t="s">
        <v>366</v>
      </c>
      <c r="D181" s="75"/>
      <c r="E181" s="75" t="s">
        <v>367</v>
      </c>
      <c r="F181" s="76">
        <v>0</v>
      </c>
      <c r="G181" s="76">
        <v>0</v>
      </c>
      <c r="H181" s="75" t="s">
        <v>148</v>
      </c>
      <c r="I181" s="75" t="s">
        <v>110</v>
      </c>
      <c r="J181" s="75">
        <v>2025</v>
      </c>
      <c r="K181" s="75"/>
    </row>
    <row r="182" spans="1:11" ht="270" customHeight="1" x14ac:dyDescent="0.25">
      <c r="A182" s="74" t="s">
        <v>23</v>
      </c>
      <c r="B182" s="74" t="s">
        <v>357</v>
      </c>
      <c r="C182" s="75" t="s">
        <v>368</v>
      </c>
      <c r="D182" s="75"/>
      <c r="E182" s="75" t="s">
        <v>369</v>
      </c>
      <c r="F182" s="76">
        <v>0</v>
      </c>
      <c r="G182" s="76">
        <v>0</v>
      </c>
      <c r="H182" s="75" t="s">
        <v>148</v>
      </c>
      <c r="I182" s="75" t="s">
        <v>110</v>
      </c>
      <c r="J182" s="75">
        <v>2025</v>
      </c>
      <c r="K182" s="75"/>
    </row>
    <row r="183" spans="1:11" ht="270" customHeight="1" x14ac:dyDescent="0.25">
      <c r="A183" s="74" t="s">
        <v>23</v>
      </c>
      <c r="B183" s="74" t="s">
        <v>357</v>
      </c>
      <c r="C183" s="75" t="s">
        <v>370</v>
      </c>
      <c r="D183" s="75"/>
      <c r="E183" s="75" t="s">
        <v>371</v>
      </c>
      <c r="F183" s="76">
        <v>0</v>
      </c>
      <c r="G183" s="76">
        <v>0</v>
      </c>
      <c r="H183" s="75" t="s">
        <v>148</v>
      </c>
      <c r="I183" s="75" t="s">
        <v>110</v>
      </c>
      <c r="J183" s="75">
        <v>2025</v>
      </c>
      <c r="K183" s="75"/>
    </row>
    <row r="184" spans="1:11" ht="270" customHeight="1" x14ac:dyDescent="0.25">
      <c r="A184" s="74" t="s">
        <v>23</v>
      </c>
      <c r="B184" s="74" t="s">
        <v>357</v>
      </c>
      <c r="C184" s="75" t="s">
        <v>372</v>
      </c>
      <c r="D184" s="75"/>
      <c r="E184" s="75" t="s">
        <v>373</v>
      </c>
      <c r="F184" s="76">
        <v>0</v>
      </c>
      <c r="G184" s="76">
        <v>0</v>
      </c>
      <c r="H184" s="75" t="s">
        <v>148</v>
      </c>
      <c r="I184" s="75" t="s">
        <v>110</v>
      </c>
      <c r="J184" s="75">
        <v>2025</v>
      </c>
      <c r="K184" s="75"/>
    </row>
    <row r="185" spans="1:11" ht="270" customHeight="1" x14ac:dyDescent="0.25">
      <c r="A185" s="74" t="s">
        <v>23</v>
      </c>
      <c r="B185" s="74" t="s">
        <v>357</v>
      </c>
      <c r="C185" s="75" t="s">
        <v>374</v>
      </c>
      <c r="D185" s="75"/>
      <c r="E185" s="75" t="s">
        <v>375</v>
      </c>
      <c r="F185" s="76">
        <v>0</v>
      </c>
      <c r="G185" s="76">
        <v>0</v>
      </c>
      <c r="H185" s="75" t="s">
        <v>148</v>
      </c>
      <c r="I185" s="75" t="s">
        <v>110</v>
      </c>
      <c r="J185" s="75">
        <v>2025</v>
      </c>
      <c r="K185" s="75"/>
    </row>
    <row r="186" spans="1:11" ht="270" customHeight="1" x14ac:dyDescent="0.25">
      <c r="A186" s="74" t="s">
        <v>23</v>
      </c>
      <c r="B186" s="74" t="s">
        <v>357</v>
      </c>
      <c r="C186" s="75" t="s">
        <v>376</v>
      </c>
      <c r="D186" s="75"/>
      <c r="E186" s="75" t="s">
        <v>377</v>
      </c>
      <c r="F186" s="76">
        <v>0</v>
      </c>
      <c r="G186" s="76">
        <v>0</v>
      </c>
      <c r="H186" s="75" t="s">
        <v>148</v>
      </c>
      <c r="I186" s="75" t="s">
        <v>110</v>
      </c>
      <c r="J186" s="75">
        <v>2025</v>
      </c>
      <c r="K186" s="75"/>
    </row>
    <row r="187" spans="1:11" ht="270" customHeight="1" x14ac:dyDescent="0.25">
      <c r="A187" s="74" t="s">
        <v>23</v>
      </c>
      <c r="B187" s="74" t="s">
        <v>357</v>
      </c>
      <c r="C187" s="75" t="s">
        <v>378</v>
      </c>
      <c r="D187" s="75"/>
      <c r="E187" s="75" t="s">
        <v>379</v>
      </c>
      <c r="F187" s="76">
        <v>0</v>
      </c>
      <c r="G187" s="76">
        <v>0</v>
      </c>
      <c r="H187" s="75" t="s">
        <v>148</v>
      </c>
      <c r="I187" s="75" t="s">
        <v>110</v>
      </c>
      <c r="J187" s="75">
        <v>2025</v>
      </c>
      <c r="K187" s="75"/>
    </row>
    <row r="188" spans="1:11" ht="270" customHeight="1" x14ac:dyDescent="0.25">
      <c r="A188" s="74" t="s">
        <v>23</v>
      </c>
      <c r="B188" s="74" t="s">
        <v>380</v>
      </c>
      <c r="C188" s="75" t="s">
        <v>381</v>
      </c>
      <c r="D188" s="75"/>
      <c r="E188" s="75" t="s">
        <v>382</v>
      </c>
      <c r="F188" s="76">
        <v>0</v>
      </c>
      <c r="G188" s="76">
        <v>0</v>
      </c>
      <c r="H188" s="75" t="s">
        <v>148</v>
      </c>
      <c r="I188" s="75" t="s">
        <v>110</v>
      </c>
      <c r="J188" s="75">
        <v>2025</v>
      </c>
      <c r="K188" s="75"/>
    </row>
    <row r="189" spans="1:11" ht="270" customHeight="1" x14ac:dyDescent="0.25">
      <c r="A189" s="74" t="s">
        <v>979</v>
      </c>
      <c r="B189" s="74" t="s">
        <v>383</v>
      </c>
      <c r="C189" s="75" t="s">
        <v>384</v>
      </c>
      <c r="D189" s="75"/>
      <c r="E189" s="75" t="s">
        <v>385</v>
      </c>
      <c r="F189" s="76">
        <v>5</v>
      </c>
      <c r="G189" s="76">
        <v>0</v>
      </c>
      <c r="H189" s="75"/>
      <c r="I189" s="75"/>
      <c r="J189" s="75"/>
      <c r="K189" s="75"/>
    </row>
    <row r="190" spans="1:11" ht="270" customHeight="1" x14ac:dyDescent="0.25">
      <c r="A190" s="74" t="s">
        <v>979</v>
      </c>
      <c r="B190" s="74" t="s">
        <v>383</v>
      </c>
      <c r="C190" s="75" t="s">
        <v>386</v>
      </c>
      <c r="D190" s="75"/>
      <c r="E190" s="75" t="s">
        <v>387</v>
      </c>
      <c r="F190" s="76">
        <v>5</v>
      </c>
      <c r="G190" s="76">
        <v>0</v>
      </c>
      <c r="H190" s="75"/>
      <c r="I190" s="75"/>
      <c r="J190" s="75"/>
      <c r="K190" s="75"/>
    </row>
    <row r="191" spans="1:11" ht="270" customHeight="1" x14ac:dyDescent="0.25">
      <c r="A191" s="74" t="s">
        <v>979</v>
      </c>
      <c r="B191" s="74" t="s">
        <v>383</v>
      </c>
      <c r="C191" s="75" t="s">
        <v>388</v>
      </c>
      <c r="D191" s="75"/>
      <c r="E191" s="75" t="s">
        <v>389</v>
      </c>
      <c r="F191" s="76">
        <v>5</v>
      </c>
      <c r="G191" s="76">
        <v>0</v>
      </c>
      <c r="H191" s="75"/>
      <c r="I191" s="75"/>
      <c r="J191" s="75"/>
      <c r="K191" s="75"/>
    </row>
    <row r="192" spans="1:11" ht="270" customHeight="1" x14ac:dyDescent="0.25">
      <c r="A192" s="74" t="s">
        <v>979</v>
      </c>
      <c r="B192" s="74" t="s">
        <v>383</v>
      </c>
      <c r="C192" s="75" t="s">
        <v>390</v>
      </c>
      <c r="D192" s="75"/>
      <c r="E192" s="75" t="s">
        <v>391</v>
      </c>
      <c r="F192" s="76">
        <v>5</v>
      </c>
      <c r="G192" s="76">
        <v>0</v>
      </c>
      <c r="H192" s="75"/>
      <c r="I192" s="75"/>
      <c r="J192" s="75"/>
      <c r="K192" s="75"/>
    </row>
    <row r="193" spans="1:11" ht="270" customHeight="1" x14ac:dyDescent="0.25">
      <c r="A193" s="74" t="s">
        <v>979</v>
      </c>
      <c r="B193" s="74" t="s">
        <v>383</v>
      </c>
      <c r="C193" s="75" t="s">
        <v>392</v>
      </c>
      <c r="D193" s="75"/>
      <c r="E193" s="75" t="s">
        <v>393</v>
      </c>
      <c r="F193" s="76">
        <v>5</v>
      </c>
      <c r="G193" s="76">
        <v>0</v>
      </c>
      <c r="H193" s="75"/>
      <c r="I193" s="75"/>
      <c r="J193" s="75"/>
      <c r="K193" s="75"/>
    </row>
    <row r="194" spans="1:11" ht="270" customHeight="1" x14ac:dyDescent="0.25">
      <c r="A194" s="74" t="s">
        <v>979</v>
      </c>
      <c r="B194" s="74" t="s">
        <v>383</v>
      </c>
      <c r="C194" s="75" t="s">
        <v>394</v>
      </c>
      <c r="D194" s="75"/>
      <c r="E194" s="75" t="s">
        <v>395</v>
      </c>
      <c r="F194" s="76">
        <v>5</v>
      </c>
      <c r="G194" s="76">
        <v>0</v>
      </c>
      <c r="H194" s="75"/>
      <c r="I194" s="75"/>
      <c r="J194" s="75"/>
      <c r="K194" s="75"/>
    </row>
    <row r="195" spans="1:11" ht="270" customHeight="1" x14ac:dyDescent="0.25">
      <c r="A195" s="74" t="s">
        <v>979</v>
      </c>
      <c r="B195" s="74" t="s">
        <v>396</v>
      </c>
      <c r="C195" s="75" t="s">
        <v>949</v>
      </c>
      <c r="D195" s="75" t="s">
        <v>950</v>
      </c>
      <c r="E195" s="75" t="s">
        <v>951</v>
      </c>
      <c r="F195" s="76">
        <v>5</v>
      </c>
      <c r="G195" s="76">
        <v>0</v>
      </c>
      <c r="H195" s="75"/>
      <c r="I195" s="75"/>
      <c r="J195" s="75"/>
      <c r="K195" s="75"/>
    </row>
    <row r="196" spans="1:11" ht="270" customHeight="1" x14ac:dyDescent="0.25">
      <c r="A196" s="74" t="s">
        <v>979</v>
      </c>
      <c r="B196" s="74" t="s">
        <v>396</v>
      </c>
      <c r="C196" s="75" t="s">
        <v>397</v>
      </c>
      <c r="D196" s="75"/>
      <c r="E196" s="75" t="s">
        <v>398</v>
      </c>
      <c r="F196" s="76">
        <v>5</v>
      </c>
      <c r="G196" s="76">
        <v>0</v>
      </c>
      <c r="H196" s="75"/>
      <c r="I196" s="75"/>
      <c r="J196" s="75"/>
      <c r="K196" s="75"/>
    </row>
    <row r="197" spans="1:11" ht="270" customHeight="1" x14ac:dyDescent="0.25">
      <c r="A197" s="74" t="s">
        <v>979</v>
      </c>
      <c r="B197" s="74" t="s">
        <v>396</v>
      </c>
      <c r="C197" s="75" t="s">
        <v>949</v>
      </c>
      <c r="D197" s="75" t="s">
        <v>950</v>
      </c>
      <c r="E197" s="75" t="s">
        <v>951</v>
      </c>
      <c r="F197" s="76">
        <v>5</v>
      </c>
      <c r="G197" s="76">
        <v>0</v>
      </c>
      <c r="H197" s="75"/>
      <c r="I197" s="75"/>
      <c r="J197" s="75"/>
      <c r="K197" s="75"/>
    </row>
    <row r="198" spans="1:11" ht="270" customHeight="1" x14ac:dyDescent="0.25">
      <c r="A198" s="74" t="s">
        <v>979</v>
      </c>
      <c r="B198" s="74" t="s">
        <v>396</v>
      </c>
      <c r="C198" s="75" t="s">
        <v>399</v>
      </c>
      <c r="D198" s="75"/>
      <c r="E198" s="75" t="s">
        <v>400</v>
      </c>
      <c r="F198" s="76">
        <v>5</v>
      </c>
      <c r="G198" s="76">
        <v>0</v>
      </c>
      <c r="H198" s="75"/>
      <c r="I198" s="75"/>
      <c r="J198" s="75"/>
      <c r="K198" s="75"/>
    </row>
    <row r="199" spans="1:11" ht="270" customHeight="1" x14ac:dyDescent="0.25">
      <c r="A199" s="74" t="s">
        <v>979</v>
      </c>
      <c r="B199" s="74" t="s">
        <v>401</v>
      </c>
      <c r="C199" s="75" t="s">
        <v>949</v>
      </c>
      <c r="D199" s="75" t="s">
        <v>950</v>
      </c>
      <c r="E199" s="75" t="s">
        <v>951</v>
      </c>
      <c r="F199" s="76">
        <v>3.9</v>
      </c>
      <c r="G199" s="76">
        <v>0</v>
      </c>
      <c r="H199" s="75" t="s">
        <v>402</v>
      </c>
      <c r="I199" s="75" t="s">
        <v>110</v>
      </c>
      <c r="J199" s="75">
        <v>2025</v>
      </c>
      <c r="K199" s="75"/>
    </row>
    <row r="200" spans="1:11" ht="270" customHeight="1" x14ac:dyDescent="0.25">
      <c r="A200" s="74" t="s">
        <v>979</v>
      </c>
      <c r="B200" s="74" t="s">
        <v>401</v>
      </c>
      <c r="C200" s="75" t="s">
        <v>403</v>
      </c>
      <c r="D200" s="75"/>
      <c r="E200" s="75" t="s">
        <v>404</v>
      </c>
      <c r="F200" s="76">
        <v>3.9</v>
      </c>
      <c r="G200" s="76">
        <v>0</v>
      </c>
      <c r="H200" s="75" t="s">
        <v>402</v>
      </c>
      <c r="I200" s="75" t="s">
        <v>110</v>
      </c>
      <c r="J200" s="75">
        <v>2025</v>
      </c>
      <c r="K200" s="75"/>
    </row>
    <row r="201" spans="1:11" ht="270" customHeight="1" x14ac:dyDescent="0.25">
      <c r="A201" s="74" t="s">
        <v>979</v>
      </c>
      <c r="B201" s="74" t="s">
        <v>401</v>
      </c>
      <c r="C201" s="75" t="s">
        <v>949</v>
      </c>
      <c r="D201" s="75" t="s">
        <v>950</v>
      </c>
      <c r="E201" s="75" t="s">
        <v>951</v>
      </c>
      <c r="F201" s="76">
        <v>3.9</v>
      </c>
      <c r="G201" s="76">
        <v>0</v>
      </c>
      <c r="H201" s="75" t="s">
        <v>402</v>
      </c>
      <c r="I201" s="75" t="s">
        <v>110</v>
      </c>
      <c r="J201" s="75">
        <v>2025</v>
      </c>
      <c r="K201" s="75"/>
    </row>
    <row r="202" spans="1:11" ht="270" customHeight="1" x14ac:dyDescent="0.25">
      <c r="A202" s="74" t="s">
        <v>979</v>
      </c>
      <c r="B202" s="74" t="s">
        <v>401</v>
      </c>
      <c r="C202" s="75" t="s">
        <v>949</v>
      </c>
      <c r="D202" s="75" t="s">
        <v>950</v>
      </c>
      <c r="E202" s="75" t="s">
        <v>951</v>
      </c>
      <c r="F202" s="76">
        <v>3.9</v>
      </c>
      <c r="G202" s="76">
        <v>0</v>
      </c>
      <c r="H202" s="75" t="s">
        <v>402</v>
      </c>
      <c r="I202" s="75" t="s">
        <v>110</v>
      </c>
      <c r="J202" s="75">
        <v>2025</v>
      </c>
      <c r="K202" s="75"/>
    </row>
    <row r="203" spans="1:11" ht="270" customHeight="1" x14ac:dyDescent="0.25">
      <c r="A203" s="74" t="s">
        <v>979</v>
      </c>
      <c r="B203" s="74" t="s">
        <v>401</v>
      </c>
      <c r="C203" s="75" t="s">
        <v>405</v>
      </c>
      <c r="D203" s="75"/>
      <c r="E203" s="75" t="s">
        <v>406</v>
      </c>
      <c r="F203" s="76">
        <v>3.9</v>
      </c>
      <c r="G203" s="76">
        <v>0</v>
      </c>
      <c r="H203" s="75" t="s">
        <v>402</v>
      </c>
      <c r="I203" s="75" t="s">
        <v>110</v>
      </c>
      <c r="J203" s="75">
        <v>2025</v>
      </c>
      <c r="K203" s="75"/>
    </row>
    <row r="204" spans="1:11" ht="270" customHeight="1" x14ac:dyDescent="0.25">
      <c r="A204" s="74" t="s">
        <v>979</v>
      </c>
      <c r="B204" s="74" t="s">
        <v>401</v>
      </c>
      <c r="C204" s="75" t="s">
        <v>407</v>
      </c>
      <c r="D204" s="75"/>
      <c r="E204" s="75" t="s">
        <v>408</v>
      </c>
      <c r="F204" s="76">
        <v>3.9</v>
      </c>
      <c r="G204" s="76">
        <v>0</v>
      </c>
      <c r="H204" s="75" t="s">
        <v>402</v>
      </c>
      <c r="I204" s="75" t="s">
        <v>110</v>
      </c>
      <c r="J204" s="75">
        <v>2025</v>
      </c>
      <c r="K204" s="75"/>
    </row>
    <row r="205" spans="1:11" ht="270" customHeight="1" x14ac:dyDescent="0.25">
      <c r="A205" s="74" t="s">
        <v>979</v>
      </c>
      <c r="B205" s="74" t="s">
        <v>401</v>
      </c>
      <c r="C205" s="75" t="s">
        <v>409</v>
      </c>
      <c r="D205" s="75"/>
      <c r="E205" s="75" t="s">
        <v>410</v>
      </c>
      <c r="F205" s="76">
        <v>3.9</v>
      </c>
      <c r="G205" s="76">
        <v>0</v>
      </c>
      <c r="H205" s="75" t="s">
        <v>402</v>
      </c>
      <c r="I205" s="75" t="s">
        <v>110</v>
      </c>
      <c r="J205" s="75">
        <v>2025</v>
      </c>
      <c r="K205" s="75"/>
    </row>
    <row r="206" spans="1:11" ht="270" customHeight="1" x14ac:dyDescent="0.25">
      <c r="A206" s="74" t="s">
        <v>979</v>
      </c>
      <c r="B206" s="74" t="s">
        <v>401</v>
      </c>
      <c r="C206" s="75" t="s">
        <v>411</v>
      </c>
      <c r="D206" s="75"/>
      <c r="E206" s="75" t="s">
        <v>412</v>
      </c>
      <c r="F206" s="76">
        <v>3.9</v>
      </c>
      <c r="G206" s="76">
        <v>0</v>
      </c>
      <c r="H206" s="75" t="s">
        <v>402</v>
      </c>
      <c r="I206" s="75" t="s">
        <v>110</v>
      </c>
      <c r="J206" s="75">
        <v>2025</v>
      </c>
      <c r="K206" s="75"/>
    </row>
    <row r="207" spans="1:11" ht="270" customHeight="1" x14ac:dyDescent="0.25">
      <c r="A207" s="74" t="s">
        <v>979</v>
      </c>
      <c r="B207" s="74" t="s">
        <v>401</v>
      </c>
      <c r="C207" s="75" t="s">
        <v>413</v>
      </c>
      <c r="D207" s="75"/>
      <c r="E207" s="75" t="s">
        <v>414</v>
      </c>
      <c r="F207" s="76">
        <v>3.9</v>
      </c>
      <c r="G207" s="76">
        <v>0</v>
      </c>
      <c r="H207" s="75" t="s">
        <v>402</v>
      </c>
      <c r="I207" s="75" t="s">
        <v>110</v>
      </c>
      <c r="J207" s="75">
        <v>2025</v>
      </c>
      <c r="K207" s="75"/>
    </row>
    <row r="208" spans="1:11" ht="270" customHeight="1" x14ac:dyDescent="0.25">
      <c r="A208" s="74" t="s">
        <v>979</v>
      </c>
      <c r="B208" s="74" t="s">
        <v>401</v>
      </c>
      <c r="C208" s="75" t="s">
        <v>415</v>
      </c>
      <c r="D208" s="75"/>
      <c r="E208" s="75" t="s">
        <v>416</v>
      </c>
      <c r="F208" s="76">
        <v>3.9</v>
      </c>
      <c r="G208" s="76">
        <v>0</v>
      </c>
      <c r="H208" s="75" t="s">
        <v>402</v>
      </c>
      <c r="I208" s="75" t="s">
        <v>110</v>
      </c>
      <c r="J208" s="75">
        <v>2025</v>
      </c>
      <c r="K208" s="75"/>
    </row>
    <row r="209" spans="1:11" ht="270" customHeight="1" x14ac:dyDescent="0.25">
      <c r="A209" s="74" t="s">
        <v>979</v>
      </c>
      <c r="B209" s="74" t="s">
        <v>401</v>
      </c>
      <c r="C209" s="75" t="s">
        <v>417</v>
      </c>
      <c r="D209" s="75"/>
      <c r="E209" s="75" t="s">
        <v>418</v>
      </c>
      <c r="F209" s="76">
        <v>3.9</v>
      </c>
      <c r="G209" s="76">
        <v>0</v>
      </c>
      <c r="H209" s="75" t="s">
        <v>402</v>
      </c>
      <c r="I209" s="75" t="s">
        <v>110</v>
      </c>
      <c r="J209" s="75">
        <v>2025</v>
      </c>
      <c r="K209" s="75"/>
    </row>
    <row r="210" spans="1:11" ht="270" customHeight="1" x14ac:dyDescent="0.25">
      <c r="A210" s="74" t="s">
        <v>979</v>
      </c>
      <c r="B210" s="74" t="s">
        <v>401</v>
      </c>
      <c r="C210" s="75" t="s">
        <v>419</v>
      </c>
      <c r="D210" s="75"/>
      <c r="E210" s="75" t="s">
        <v>420</v>
      </c>
      <c r="F210" s="76">
        <v>3.9</v>
      </c>
      <c r="G210" s="76">
        <v>0</v>
      </c>
      <c r="H210" s="75" t="s">
        <v>402</v>
      </c>
      <c r="I210" s="75" t="s">
        <v>110</v>
      </c>
      <c r="J210" s="75">
        <v>2025</v>
      </c>
      <c r="K210" s="75"/>
    </row>
    <row r="211" spans="1:11" ht="270" customHeight="1" x14ac:dyDescent="0.25">
      <c r="A211" s="74" t="s">
        <v>979</v>
      </c>
      <c r="B211" s="74" t="s">
        <v>421</v>
      </c>
      <c r="C211" s="75" t="s">
        <v>949</v>
      </c>
      <c r="D211" s="75" t="s">
        <v>950</v>
      </c>
      <c r="E211" s="75" t="s">
        <v>951</v>
      </c>
      <c r="F211" s="76">
        <v>5</v>
      </c>
      <c r="G211" s="76">
        <v>0</v>
      </c>
      <c r="H211" s="75"/>
      <c r="I211" s="75"/>
      <c r="J211" s="75"/>
      <c r="K211" s="75"/>
    </row>
    <row r="212" spans="1:11" ht="270" customHeight="1" x14ac:dyDescent="0.25">
      <c r="A212" s="74" t="s">
        <v>979</v>
      </c>
      <c r="B212" s="74" t="s">
        <v>422</v>
      </c>
      <c r="C212" s="75" t="s">
        <v>423</v>
      </c>
      <c r="D212" s="75"/>
      <c r="E212" s="75" t="s">
        <v>424</v>
      </c>
      <c r="F212" s="76">
        <v>5</v>
      </c>
      <c r="G212" s="76">
        <v>0</v>
      </c>
      <c r="H212" s="75"/>
      <c r="I212" s="75"/>
      <c r="J212" s="75"/>
      <c r="K212" s="75"/>
    </row>
    <row r="213" spans="1:11" ht="270" customHeight="1" x14ac:dyDescent="0.25">
      <c r="A213" s="74" t="s">
        <v>979</v>
      </c>
      <c r="B213" s="74" t="s">
        <v>422</v>
      </c>
      <c r="C213" s="75" t="s">
        <v>425</v>
      </c>
      <c r="D213" s="75"/>
      <c r="E213" s="75" t="s">
        <v>426</v>
      </c>
      <c r="F213" s="76">
        <v>5</v>
      </c>
      <c r="G213" s="76">
        <v>0</v>
      </c>
      <c r="H213" s="75"/>
      <c r="I213" s="75"/>
      <c r="J213" s="75"/>
      <c r="K213" s="75"/>
    </row>
    <row r="214" spans="1:11" ht="270" customHeight="1" x14ac:dyDescent="0.25">
      <c r="A214" s="74" t="s">
        <v>979</v>
      </c>
      <c r="B214" s="74" t="s">
        <v>422</v>
      </c>
      <c r="C214" s="75" t="s">
        <v>355</v>
      </c>
      <c r="D214" s="75"/>
      <c r="E214" s="75" t="s">
        <v>356</v>
      </c>
      <c r="F214" s="76">
        <v>5</v>
      </c>
      <c r="G214" s="76">
        <v>0</v>
      </c>
      <c r="H214" s="75"/>
      <c r="I214" s="75"/>
      <c r="J214" s="75"/>
      <c r="K214" s="75"/>
    </row>
    <row r="215" spans="1:11" ht="270" customHeight="1" x14ac:dyDescent="0.25">
      <c r="A215" s="74" t="s">
        <v>979</v>
      </c>
      <c r="B215" s="74" t="s">
        <v>422</v>
      </c>
      <c r="C215" s="75" t="s">
        <v>427</v>
      </c>
      <c r="D215" s="75"/>
      <c r="E215" s="75" t="s">
        <v>428</v>
      </c>
      <c r="F215" s="76">
        <v>5</v>
      </c>
      <c r="G215" s="76">
        <v>0</v>
      </c>
      <c r="H215" s="75"/>
      <c r="I215" s="75"/>
      <c r="J215" s="75"/>
      <c r="K215" s="75"/>
    </row>
    <row r="216" spans="1:11" ht="270" customHeight="1" x14ac:dyDescent="0.25">
      <c r="A216" s="74" t="s">
        <v>979</v>
      </c>
      <c r="B216" s="74" t="s">
        <v>422</v>
      </c>
      <c r="C216" s="75" t="s">
        <v>429</v>
      </c>
      <c r="D216" s="75"/>
      <c r="E216" s="75" t="s">
        <v>430</v>
      </c>
      <c r="F216" s="76">
        <v>5</v>
      </c>
      <c r="G216" s="76">
        <v>0</v>
      </c>
      <c r="H216" s="75"/>
      <c r="I216" s="75"/>
      <c r="J216" s="75"/>
      <c r="K216" s="75"/>
    </row>
    <row r="217" spans="1:11" ht="270" customHeight="1" x14ac:dyDescent="0.25">
      <c r="A217" s="74" t="s">
        <v>979</v>
      </c>
      <c r="B217" s="74" t="s">
        <v>431</v>
      </c>
      <c r="C217" s="75" t="s">
        <v>949</v>
      </c>
      <c r="D217" s="75" t="s">
        <v>950</v>
      </c>
      <c r="E217" s="75" t="s">
        <v>951</v>
      </c>
      <c r="F217" s="76">
        <v>5</v>
      </c>
      <c r="G217" s="76">
        <v>0</v>
      </c>
      <c r="H217" s="75"/>
      <c r="I217" s="75"/>
      <c r="J217" s="75"/>
      <c r="K217" s="75"/>
    </row>
    <row r="218" spans="1:11" ht="270" customHeight="1" x14ac:dyDescent="0.25">
      <c r="A218" s="74" t="s">
        <v>979</v>
      </c>
      <c r="B218" s="74" t="s">
        <v>431</v>
      </c>
      <c r="C218" s="75" t="s">
        <v>949</v>
      </c>
      <c r="D218" s="75" t="s">
        <v>950</v>
      </c>
      <c r="E218" s="75" t="s">
        <v>951</v>
      </c>
      <c r="F218" s="76">
        <v>5</v>
      </c>
      <c r="G218" s="76">
        <v>0</v>
      </c>
      <c r="H218" s="75"/>
      <c r="I218" s="75"/>
      <c r="J218" s="75"/>
      <c r="K218" s="75"/>
    </row>
    <row r="219" spans="1:11" ht="270" customHeight="1" x14ac:dyDescent="0.25">
      <c r="A219" s="74" t="s">
        <v>979</v>
      </c>
      <c r="B219" s="74" t="s">
        <v>431</v>
      </c>
      <c r="C219" s="75" t="s">
        <v>432</v>
      </c>
      <c r="D219" s="75"/>
      <c r="E219" s="75" t="s">
        <v>433</v>
      </c>
      <c r="F219" s="76">
        <v>5</v>
      </c>
      <c r="G219" s="76">
        <v>0</v>
      </c>
      <c r="H219" s="75"/>
      <c r="I219" s="75"/>
      <c r="J219" s="75"/>
      <c r="K219" s="75"/>
    </row>
    <row r="220" spans="1:11" ht="270" customHeight="1" x14ac:dyDescent="0.25">
      <c r="A220" s="74" t="s">
        <v>979</v>
      </c>
      <c r="B220" s="74" t="s">
        <v>431</v>
      </c>
      <c r="C220" s="75" t="s">
        <v>434</v>
      </c>
      <c r="D220" s="75"/>
      <c r="E220" s="75" t="s">
        <v>435</v>
      </c>
      <c r="F220" s="76">
        <v>5</v>
      </c>
      <c r="G220" s="76">
        <v>0</v>
      </c>
      <c r="H220" s="75"/>
      <c r="I220" s="75"/>
      <c r="J220" s="75"/>
      <c r="K220" s="75"/>
    </row>
    <row r="221" spans="1:11" ht="270" customHeight="1" x14ac:dyDescent="0.25">
      <c r="A221" s="74" t="s">
        <v>979</v>
      </c>
      <c r="B221" s="74" t="s">
        <v>436</v>
      </c>
      <c r="C221" s="75" t="s">
        <v>437</v>
      </c>
      <c r="D221" s="75"/>
      <c r="E221" s="75" t="s">
        <v>438</v>
      </c>
      <c r="F221" s="76">
        <v>5</v>
      </c>
      <c r="G221" s="76">
        <v>0</v>
      </c>
      <c r="H221" s="75"/>
      <c r="I221" s="75"/>
      <c r="J221" s="75"/>
      <c r="K221" s="75"/>
    </row>
    <row r="222" spans="1:11" ht="270" customHeight="1" x14ac:dyDescent="0.25">
      <c r="A222" s="74" t="s">
        <v>979</v>
      </c>
      <c r="B222" s="74" t="s">
        <v>439</v>
      </c>
      <c r="C222" s="75" t="s">
        <v>440</v>
      </c>
      <c r="D222" s="75"/>
      <c r="E222" s="75" t="s">
        <v>441</v>
      </c>
      <c r="F222" s="76">
        <v>4.3</v>
      </c>
      <c r="G222" s="76">
        <v>0</v>
      </c>
      <c r="H222" s="75" t="s">
        <v>148</v>
      </c>
      <c r="I222" s="75" t="s">
        <v>110</v>
      </c>
      <c r="J222" s="75">
        <v>2025</v>
      </c>
      <c r="K222" s="75"/>
    </row>
    <row r="223" spans="1:11" ht="270" customHeight="1" x14ac:dyDescent="0.25">
      <c r="A223" s="74" t="s">
        <v>979</v>
      </c>
      <c r="B223" s="74" t="s">
        <v>439</v>
      </c>
      <c r="C223" s="75" t="s">
        <v>442</v>
      </c>
      <c r="D223" s="75"/>
      <c r="E223" s="75" t="s">
        <v>443</v>
      </c>
      <c r="F223" s="76">
        <v>4.3</v>
      </c>
      <c r="G223" s="76">
        <v>0</v>
      </c>
      <c r="H223" s="75" t="s">
        <v>148</v>
      </c>
      <c r="I223" s="75" t="s">
        <v>110</v>
      </c>
      <c r="J223" s="75">
        <v>2025</v>
      </c>
      <c r="K223" s="75"/>
    </row>
    <row r="224" spans="1:11" ht="270" customHeight="1" x14ac:dyDescent="0.25">
      <c r="A224" s="74" t="s">
        <v>979</v>
      </c>
      <c r="B224" s="74" t="s">
        <v>439</v>
      </c>
      <c r="C224" s="75" t="s">
        <v>444</v>
      </c>
      <c r="D224" s="75"/>
      <c r="E224" s="75" t="s">
        <v>445</v>
      </c>
      <c r="F224" s="76">
        <v>4.3</v>
      </c>
      <c r="G224" s="76">
        <v>0</v>
      </c>
      <c r="H224" s="75" t="s">
        <v>148</v>
      </c>
      <c r="I224" s="75" t="s">
        <v>110</v>
      </c>
      <c r="J224" s="75">
        <v>2025</v>
      </c>
      <c r="K224" s="75"/>
    </row>
    <row r="225" spans="1:11" ht="270" customHeight="1" x14ac:dyDescent="0.25">
      <c r="A225" s="74" t="s">
        <v>979</v>
      </c>
      <c r="B225" s="74" t="s">
        <v>439</v>
      </c>
      <c r="C225" s="75" t="s">
        <v>446</v>
      </c>
      <c r="D225" s="75"/>
      <c r="E225" s="75" t="s">
        <v>447</v>
      </c>
      <c r="F225" s="76">
        <v>4.3</v>
      </c>
      <c r="G225" s="76">
        <v>0</v>
      </c>
      <c r="H225" s="75" t="s">
        <v>148</v>
      </c>
      <c r="I225" s="75" t="s">
        <v>110</v>
      </c>
      <c r="J225" s="75">
        <v>2025</v>
      </c>
      <c r="K225" s="75"/>
    </row>
    <row r="226" spans="1:11" ht="270" customHeight="1" x14ac:dyDescent="0.25">
      <c r="A226" s="74" t="s">
        <v>979</v>
      </c>
      <c r="B226" s="74" t="s">
        <v>439</v>
      </c>
      <c r="C226" s="75" t="s">
        <v>448</v>
      </c>
      <c r="D226" s="75"/>
      <c r="E226" s="75" t="s">
        <v>449</v>
      </c>
      <c r="F226" s="76">
        <v>4.3</v>
      </c>
      <c r="G226" s="76">
        <v>0</v>
      </c>
      <c r="H226" s="75" t="s">
        <v>148</v>
      </c>
      <c r="I226" s="75" t="s">
        <v>110</v>
      </c>
      <c r="J226" s="75">
        <v>2025</v>
      </c>
      <c r="K226" s="75"/>
    </row>
    <row r="227" spans="1:11" ht="270" customHeight="1" x14ac:dyDescent="0.25">
      <c r="A227" s="74" t="s">
        <v>979</v>
      </c>
      <c r="B227" s="74" t="s">
        <v>439</v>
      </c>
      <c r="C227" s="75" t="s">
        <v>949</v>
      </c>
      <c r="D227" s="75" t="s">
        <v>950</v>
      </c>
      <c r="E227" s="75" t="s">
        <v>951</v>
      </c>
      <c r="F227" s="76">
        <v>4.3</v>
      </c>
      <c r="G227" s="76">
        <v>0</v>
      </c>
      <c r="H227" s="75" t="s">
        <v>148</v>
      </c>
      <c r="I227" s="75" t="s">
        <v>110</v>
      </c>
      <c r="J227" s="75">
        <v>2025</v>
      </c>
      <c r="K227" s="75"/>
    </row>
    <row r="228" spans="1:11" ht="270" customHeight="1" x14ac:dyDescent="0.25">
      <c r="A228" s="74" t="s">
        <v>979</v>
      </c>
      <c r="B228" s="74" t="s">
        <v>439</v>
      </c>
      <c r="C228" s="75" t="s">
        <v>450</v>
      </c>
      <c r="D228" s="75"/>
      <c r="E228" s="75" t="s">
        <v>451</v>
      </c>
      <c r="F228" s="76">
        <v>4.3</v>
      </c>
      <c r="G228" s="76">
        <v>0</v>
      </c>
      <c r="H228" s="75" t="s">
        <v>148</v>
      </c>
      <c r="I228" s="75" t="s">
        <v>110</v>
      </c>
      <c r="J228" s="75">
        <v>2025</v>
      </c>
      <c r="K228" s="75"/>
    </row>
    <row r="229" spans="1:11" ht="270" customHeight="1" x14ac:dyDescent="0.25">
      <c r="A229" s="74" t="s">
        <v>979</v>
      </c>
      <c r="B229" s="74" t="s">
        <v>439</v>
      </c>
      <c r="C229" s="75" t="s">
        <v>452</v>
      </c>
      <c r="D229" s="75"/>
      <c r="E229" s="75" t="s">
        <v>453</v>
      </c>
      <c r="F229" s="76">
        <v>4.3</v>
      </c>
      <c r="G229" s="76">
        <v>0</v>
      </c>
      <c r="H229" s="75" t="s">
        <v>148</v>
      </c>
      <c r="I229" s="75" t="s">
        <v>110</v>
      </c>
      <c r="J229" s="75">
        <v>2025</v>
      </c>
      <c r="K229" s="75"/>
    </row>
    <row r="230" spans="1:11" ht="270" customHeight="1" x14ac:dyDescent="0.25">
      <c r="A230" s="74" t="s">
        <v>979</v>
      </c>
      <c r="B230" s="74" t="s">
        <v>454</v>
      </c>
      <c r="C230" s="75" t="s">
        <v>455</v>
      </c>
      <c r="D230" s="75"/>
      <c r="E230" s="75" t="s">
        <v>456</v>
      </c>
      <c r="F230" s="76">
        <v>3.1</v>
      </c>
      <c r="G230" s="76">
        <v>0</v>
      </c>
      <c r="H230" s="75" t="s">
        <v>148</v>
      </c>
      <c r="I230" s="75" t="s">
        <v>110</v>
      </c>
      <c r="J230" s="75">
        <v>2025</v>
      </c>
      <c r="K230" s="75"/>
    </row>
    <row r="231" spans="1:11" ht="270" customHeight="1" x14ac:dyDescent="0.25">
      <c r="A231" s="74" t="s">
        <v>979</v>
      </c>
      <c r="B231" s="74" t="s">
        <v>454</v>
      </c>
      <c r="C231" s="75" t="s">
        <v>457</v>
      </c>
      <c r="D231" s="75"/>
      <c r="E231" s="75" t="s">
        <v>458</v>
      </c>
      <c r="F231" s="76">
        <v>3.1</v>
      </c>
      <c r="G231" s="76">
        <v>0</v>
      </c>
      <c r="H231" s="75" t="s">
        <v>148</v>
      </c>
      <c r="I231" s="75" t="s">
        <v>110</v>
      </c>
      <c r="J231" s="75">
        <v>2025</v>
      </c>
      <c r="K231" s="75"/>
    </row>
    <row r="232" spans="1:11" ht="270" customHeight="1" x14ac:dyDescent="0.25">
      <c r="A232" s="74" t="s">
        <v>979</v>
      </c>
      <c r="B232" s="74" t="s">
        <v>454</v>
      </c>
      <c r="C232" s="75" t="s">
        <v>459</v>
      </c>
      <c r="D232" s="75"/>
      <c r="E232" s="75" t="s">
        <v>460</v>
      </c>
      <c r="F232" s="76">
        <v>3.1</v>
      </c>
      <c r="G232" s="76">
        <v>0</v>
      </c>
      <c r="H232" s="75" t="s">
        <v>148</v>
      </c>
      <c r="I232" s="75" t="s">
        <v>110</v>
      </c>
      <c r="J232" s="75">
        <v>2025</v>
      </c>
      <c r="K232" s="75"/>
    </row>
    <row r="233" spans="1:11" ht="270" customHeight="1" x14ac:dyDescent="0.25">
      <c r="A233" s="74" t="s">
        <v>979</v>
      </c>
      <c r="B233" s="74" t="s">
        <v>454</v>
      </c>
      <c r="C233" s="75" t="s">
        <v>461</v>
      </c>
      <c r="D233" s="75"/>
      <c r="E233" s="75" t="s">
        <v>462</v>
      </c>
      <c r="F233" s="76">
        <v>3.1</v>
      </c>
      <c r="G233" s="76">
        <v>0</v>
      </c>
      <c r="H233" s="75" t="s">
        <v>148</v>
      </c>
      <c r="I233" s="75" t="s">
        <v>110</v>
      </c>
      <c r="J233" s="75">
        <v>2025</v>
      </c>
      <c r="K233" s="75"/>
    </row>
    <row r="234" spans="1:11" ht="270" customHeight="1" x14ac:dyDescent="0.25">
      <c r="A234" s="74" t="s">
        <v>979</v>
      </c>
      <c r="B234" s="74" t="s">
        <v>454</v>
      </c>
      <c r="C234" s="75" t="s">
        <v>463</v>
      </c>
      <c r="D234" s="75"/>
      <c r="E234" s="75" t="s">
        <v>464</v>
      </c>
      <c r="F234" s="76">
        <v>3.1</v>
      </c>
      <c r="G234" s="76">
        <v>0</v>
      </c>
      <c r="H234" s="75" t="s">
        <v>148</v>
      </c>
      <c r="I234" s="75" t="s">
        <v>110</v>
      </c>
      <c r="J234" s="75">
        <v>2025</v>
      </c>
      <c r="K234" s="75"/>
    </row>
    <row r="235" spans="1:11" ht="270" customHeight="1" x14ac:dyDescent="0.25">
      <c r="A235" s="74" t="s">
        <v>979</v>
      </c>
      <c r="B235" s="74" t="s">
        <v>454</v>
      </c>
      <c r="C235" s="75" t="s">
        <v>465</v>
      </c>
      <c r="D235" s="75"/>
      <c r="E235" s="75" t="s">
        <v>466</v>
      </c>
      <c r="F235" s="76">
        <v>3.1</v>
      </c>
      <c r="G235" s="76">
        <v>0</v>
      </c>
      <c r="H235" s="75" t="s">
        <v>148</v>
      </c>
      <c r="I235" s="75" t="s">
        <v>110</v>
      </c>
      <c r="J235" s="75">
        <v>2025</v>
      </c>
      <c r="K235" s="75"/>
    </row>
    <row r="236" spans="1:11" ht="270" customHeight="1" x14ac:dyDescent="0.25">
      <c r="A236" s="74" t="s">
        <v>979</v>
      </c>
      <c r="B236" s="74" t="s">
        <v>454</v>
      </c>
      <c r="C236" s="75" t="s">
        <v>467</v>
      </c>
      <c r="D236" s="75"/>
      <c r="E236" s="75" t="s">
        <v>468</v>
      </c>
      <c r="F236" s="76">
        <v>3.1</v>
      </c>
      <c r="G236" s="76">
        <v>0</v>
      </c>
      <c r="H236" s="75" t="s">
        <v>148</v>
      </c>
      <c r="I236" s="75" t="s">
        <v>110</v>
      </c>
      <c r="J236" s="75">
        <v>2025</v>
      </c>
      <c r="K236" s="75"/>
    </row>
    <row r="237" spans="1:11" ht="270" customHeight="1" x14ac:dyDescent="0.25">
      <c r="A237" s="74" t="s">
        <v>979</v>
      </c>
      <c r="B237" s="74" t="s">
        <v>454</v>
      </c>
      <c r="C237" s="75" t="s">
        <v>469</v>
      </c>
      <c r="D237" s="75"/>
      <c r="E237" s="75" t="s">
        <v>470</v>
      </c>
      <c r="F237" s="76">
        <v>3.1</v>
      </c>
      <c r="G237" s="76">
        <v>0</v>
      </c>
      <c r="H237" s="75" t="s">
        <v>148</v>
      </c>
      <c r="I237" s="75" t="s">
        <v>110</v>
      </c>
      <c r="J237" s="75">
        <v>2025</v>
      </c>
      <c r="K237" s="75"/>
    </row>
    <row r="238" spans="1:11" ht="270" customHeight="1" x14ac:dyDescent="0.25">
      <c r="A238" s="74" t="s">
        <v>979</v>
      </c>
      <c r="B238" s="74" t="s">
        <v>454</v>
      </c>
      <c r="C238" s="75" t="s">
        <v>471</v>
      </c>
      <c r="D238" s="75"/>
      <c r="E238" s="75" t="s">
        <v>472</v>
      </c>
      <c r="F238" s="76">
        <v>3.1</v>
      </c>
      <c r="G238" s="76">
        <v>0</v>
      </c>
      <c r="H238" s="75" t="s">
        <v>148</v>
      </c>
      <c r="I238" s="75" t="s">
        <v>110</v>
      </c>
      <c r="J238" s="75">
        <v>2025</v>
      </c>
      <c r="K238" s="75"/>
    </row>
    <row r="239" spans="1:11" ht="270" customHeight="1" x14ac:dyDescent="0.25">
      <c r="A239" s="74" t="s">
        <v>979</v>
      </c>
      <c r="B239" s="74" t="s">
        <v>454</v>
      </c>
      <c r="C239" s="75" t="s">
        <v>473</v>
      </c>
      <c r="D239" s="75"/>
      <c r="E239" s="75" t="s">
        <v>474</v>
      </c>
      <c r="F239" s="76">
        <v>3.1</v>
      </c>
      <c r="G239" s="76">
        <v>0</v>
      </c>
      <c r="H239" s="75" t="s">
        <v>148</v>
      </c>
      <c r="I239" s="75" t="s">
        <v>110</v>
      </c>
      <c r="J239" s="75">
        <v>2025</v>
      </c>
      <c r="K239" s="75"/>
    </row>
    <row r="240" spans="1:11" ht="270" customHeight="1" x14ac:dyDescent="0.25">
      <c r="A240" s="74" t="s">
        <v>979</v>
      </c>
      <c r="B240" s="74" t="s">
        <v>454</v>
      </c>
      <c r="C240" s="75" t="s">
        <v>475</v>
      </c>
      <c r="D240" s="75"/>
      <c r="E240" s="75" t="s">
        <v>476</v>
      </c>
      <c r="F240" s="76">
        <v>3.1</v>
      </c>
      <c r="G240" s="76">
        <v>0</v>
      </c>
      <c r="H240" s="75" t="s">
        <v>148</v>
      </c>
      <c r="I240" s="75" t="s">
        <v>110</v>
      </c>
      <c r="J240" s="75">
        <v>2025</v>
      </c>
      <c r="K240" s="75"/>
    </row>
    <row r="241" spans="1:11" ht="270" customHeight="1" x14ac:dyDescent="0.25">
      <c r="A241" s="74" t="s">
        <v>979</v>
      </c>
      <c r="B241" s="74" t="s">
        <v>454</v>
      </c>
      <c r="C241" s="75" t="s">
        <v>459</v>
      </c>
      <c r="D241" s="75"/>
      <c r="E241" s="75" t="s">
        <v>460</v>
      </c>
      <c r="F241" s="76">
        <v>3.1</v>
      </c>
      <c r="G241" s="76">
        <v>0</v>
      </c>
      <c r="H241" s="75" t="s">
        <v>148</v>
      </c>
      <c r="I241" s="75" t="s">
        <v>110</v>
      </c>
      <c r="J241" s="75">
        <v>2025</v>
      </c>
      <c r="K241" s="75"/>
    </row>
    <row r="242" spans="1:11" ht="270" customHeight="1" x14ac:dyDescent="0.25">
      <c r="A242" s="74" t="s">
        <v>979</v>
      </c>
      <c r="B242" s="74" t="s">
        <v>454</v>
      </c>
      <c r="C242" s="75" t="s">
        <v>463</v>
      </c>
      <c r="D242" s="75"/>
      <c r="E242" s="75" t="s">
        <v>464</v>
      </c>
      <c r="F242" s="76">
        <v>3.1</v>
      </c>
      <c r="G242" s="76">
        <v>0</v>
      </c>
      <c r="H242" s="75" t="s">
        <v>148</v>
      </c>
      <c r="I242" s="75" t="s">
        <v>110</v>
      </c>
      <c r="J242" s="75">
        <v>2025</v>
      </c>
      <c r="K242" s="75"/>
    </row>
    <row r="243" spans="1:11" ht="270" customHeight="1" x14ac:dyDescent="0.25">
      <c r="A243" s="74" t="s">
        <v>979</v>
      </c>
      <c r="B243" s="74" t="s">
        <v>454</v>
      </c>
      <c r="C243" s="75" t="s">
        <v>465</v>
      </c>
      <c r="D243" s="75"/>
      <c r="E243" s="75" t="s">
        <v>466</v>
      </c>
      <c r="F243" s="76">
        <v>3.1</v>
      </c>
      <c r="G243" s="76">
        <v>0</v>
      </c>
      <c r="H243" s="75" t="s">
        <v>148</v>
      </c>
      <c r="I243" s="75" t="s">
        <v>110</v>
      </c>
      <c r="J243" s="75">
        <v>2025</v>
      </c>
      <c r="K243" s="75"/>
    </row>
    <row r="244" spans="1:11" ht="270" customHeight="1" x14ac:dyDescent="0.25">
      <c r="A244" s="74" t="s">
        <v>979</v>
      </c>
      <c r="B244" s="74" t="s">
        <v>454</v>
      </c>
      <c r="C244" s="75" t="s">
        <v>477</v>
      </c>
      <c r="D244" s="75"/>
      <c r="E244" s="75" t="s">
        <v>468</v>
      </c>
      <c r="F244" s="76">
        <v>3.1</v>
      </c>
      <c r="G244" s="76">
        <v>0</v>
      </c>
      <c r="H244" s="75" t="s">
        <v>148</v>
      </c>
      <c r="I244" s="75" t="s">
        <v>110</v>
      </c>
      <c r="J244" s="75">
        <v>2025</v>
      </c>
      <c r="K244" s="75"/>
    </row>
    <row r="245" spans="1:11" ht="270" customHeight="1" x14ac:dyDescent="0.25">
      <c r="A245" s="74" t="s">
        <v>979</v>
      </c>
      <c r="B245" s="74" t="s">
        <v>454</v>
      </c>
      <c r="C245" s="75" t="s">
        <v>478</v>
      </c>
      <c r="D245" s="75"/>
      <c r="E245" s="75" t="s">
        <v>479</v>
      </c>
      <c r="F245" s="76">
        <v>3.1</v>
      </c>
      <c r="G245" s="76">
        <v>0</v>
      </c>
      <c r="H245" s="75" t="s">
        <v>148</v>
      </c>
      <c r="I245" s="75" t="s">
        <v>110</v>
      </c>
      <c r="J245" s="75">
        <v>2025</v>
      </c>
      <c r="K245" s="75"/>
    </row>
    <row r="246" spans="1:11" ht="270" customHeight="1" x14ac:dyDescent="0.25">
      <c r="A246" s="74" t="s">
        <v>979</v>
      </c>
      <c r="B246" s="74" t="s">
        <v>454</v>
      </c>
      <c r="C246" s="75" t="s">
        <v>480</v>
      </c>
      <c r="D246" s="75"/>
      <c r="E246" s="75" t="s">
        <v>481</v>
      </c>
      <c r="F246" s="76">
        <v>3.1</v>
      </c>
      <c r="G246" s="76">
        <v>0</v>
      </c>
      <c r="H246" s="75" t="s">
        <v>148</v>
      </c>
      <c r="I246" s="75" t="s">
        <v>110</v>
      </c>
      <c r="J246" s="75">
        <v>2025</v>
      </c>
      <c r="K246" s="75"/>
    </row>
    <row r="247" spans="1:11" ht="270" customHeight="1" x14ac:dyDescent="0.25">
      <c r="A247" s="74" t="s">
        <v>979</v>
      </c>
      <c r="B247" s="74" t="s">
        <v>454</v>
      </c>
      <c r="C247" s="75" t="s">
        <v>471</v>
      </c>
      <c r="D247" s="75"/>
      <c r="E247" s="75" t="s">
        <v>472</v>
      </c>
      <c r="F247" s="76">
        <v>3.1</v>
      </c>
      <c r="G247" s="76">
        <v>0</v>
      </c>
      <c r="H247" s="75" t="s">
        <v>148</v>
      </c>
      <c r="I247" s="75" t="s">
        <v>110</v>
      </c>
      <c r="J247" s="75">
        <v>2025</v>
      </c>
      <c r="K247" s="75"/>
    </row>
    <row r="248" spans="1:11" ht="270" customHeight="1" x14ac:dyDescent="0.25">
      <c r="A248" s="74" t="s">
        <v>979</v>
      </c>
      <c r="B248" s="74" t="s">
        <v>454</v>
      </c>
      <c r="C248" s="75" t="s">
        <v>482</v>
      </c>
      <c r="D248" s="75"/>
      <c r="E248" s="75" t="s">
        <v>483</v>
      </c>
      <c r="F248" s="76">
        <v>3.1</v>
      </c>
      <c r="G248" s="76">
        <v>0</v>
      </c>
      <c r="H248" s="75" t="s">
        <v>148</v>
      </c>
      <c r="I248" s="75" t="s">
        <v>110</v>
      </c>
      <c r="J248" s="75">
        <v>2025</v>
      </c>
      <c r="K248" s="75"/>
    </row>
    <row r="249" spans="1:11" ht="270" customHeight="1" x14ac:dyDescent="0.25">
      <c r="A249" s="74" t="s">
        <v>979</v>
      </c>
      <c r="B249" s="74" t="s">
        <v>454</v>
      </c>
      <c r="C249" s="75" t="s">
        <v>475</v>
      </c>
      <c r="D249" s="75"/>
      <c r="E249" s="75" t="s">
        <v>476</v>
      </c>
      <c r="F249" s="76">
        <v>3.1</v>
      </c>
      <c r="G249" s="76">
        <v>0</v>
      </c>
      <c r="H249" s="75" t="s">
        <v>148</v>
      </c>
      <c r="I249" s="75" t="s">
        <v>110</v>
      </c>
      <c r="J249" s="75">
        <v>2025</v>
      </c>
      <c r="K249" s="75"/>
    </row>
    <row r="250" spans="1:11" ht="270" customHeight="1" x14ac:dyDescent="0.25">
      <c r="A250" s="74" t="s">
        <v>979</v>
      </c>
      <c r="B250" s="74" t="s">
        <v>454</v>
      </c>
      <c r="C250" s="75" t="s">
        <v>958</v>
      </c>
      <c r="D250" s="75" t="s">
        <v>959</v>
      </c>
      <c r="E250" s="75" t="s">
        <v>960</v>
      </c>
      <c r="F250" s="76">
        <v>3.1</v>
      </c>
      <c r="G250" s="76">
        <v>0</v>
      </c>
      <c r="H250" s="75" t="s">
        <v>148</v>
      </c>
      <c r="I250" s="75" t="s">
        <v>110</v>
      </c>
      <c r="J250" s="75">
        <v>2025</v>
      </c>
      <c r="K250" s="75"/>
    </row>
    <row r="251" spans="1:11" ht="270" customHeight="1" x14ac:dyDescent="0.25">
      <c r="A251" s="74" t="s">
        <v>979</v>
      </c>
      <c r="B251" s="74" t="s">
        <v>454</v>
      </c>
      <c r="C251" s="75" t="s">
        <v>484</v>
      </c>
      <c r="D251" s="75"/>
      <c r="E251" s="75" t="s">
        <v>485</v>
      </c>
      <c r="F251" s="76">
        <v>3.1</v>
      </c>
      <c r="G251" s="76">
        <v>0</v>
      </c>
      <c r="H251" s="75" t="s">
        <v>148</v>
      </c>
      <c r="I251" s="75" t="s">
        <v>110</v>
      </c>
      <c r="J251" s="75">
        <v>2025</v>
      </c>
      <c r="K251" s="75"/>
    </row>
    <row r="252" spans="1:11" ht="270" customHeight="1" x14ac:dyDescent="0.25">
      <c r="A252" s="74" t="s">
        <v>979</v>
      </c>
      <c r="B252" s="74" t="s">
        <v>454</v>
      </c>
      <c r="C252" s="75" t="s">
        <v>486</v>
      </c>
      <c r="D252" s="75"/>
      <c r="E252" s="75" t="s">
        <v>487</v>
      </c>
      <c r="F252" s="76">
        <v>3.1</v>
      </c>
      <c r="G252" s="76">
        <v>0</v>
      </c>
      <c r="H252" s="75" t="s">
        <v>148</v>
      </c>
      <c r="I252" s="75" t="s">
        <v>110</v>
      </c>
      <c r="J252" s="75">
        <v>2025</v>
      </c>
      <c r="K252" s="75"/>
    </row>
    <row r="253" spans="1:11" ht="270" customHeight="1" x14ac:dyDescent="0.25">
      <c r="A253" s="74" t="s">
        <v>979</v>
      </c>
      <c r="B253" s="74" t="s">
        <v>454</v>
      </c>
      <c r="C253" s="75" t="s">
        <v>488</v>
      </c>
      <c r="D253" s="75"/>
      <c r="E253" s="75" t="s">
        <v>489</v>
      </c>
      <c r="F253" s="76">
        <v>3.1</v>
      </c>
      <c r="G253" s="76">
        <v>0</v>
      </c>
      <c r="H253" s="75" t="s">
        <v>148</v>
      </c>
      <c r="I253" s="75" t="s">
        <v>110</v>
      </c>
      <c r="J253" s="75">
        <v>2025</v>
      </c>
      <c r="K253" s="75"/>
    </row>
    <row r="254" spans="1:11" ht="270" customHeight="1" x14ac:dyDescent="0.25">
      <c r="A254" s="74" t="s">
        <v>979</v>
      </c>
      <c r="B254" s="74" t="s">
        <v>454</v>
      </c>
      <c r="C254" s="75" t="s">
        <v>490</v>
      </c>
      <c r="D254" s="75"/>
      <c r="E254" s="75" t="s">
        <v>491</v>
      </c>
      <c r="F254" s="76">
        <v>3.1</v>
      </c>
      <c r="G254" s="76">
        <v>0</v>
      </c>
      <c r="H254" s="75" t="s">
        <v>148</v>
      </c>
      <c r="I254" s="75" t="s">
        <v>110</v>
      </c>
      <c r="J254" s="75">
        <v>2025</v>
      </c>
      <c r="K254" s="75"/>
    </row>
    <row r="255" spans="1:11" ht="270" customHeight="1" x14ac:dyDescent="0.25">
      <c r="A255" s="74" t="s">
        <v>979</v>
      </c>
      <c r="B255" s="74" t="s">
        <v>454</v>
      </c>
      <c r="C255" s="75" t="s">
        <v>492</v>
      </c>
      <c r="D255" s="75"/>
      <c r="E255" s="75" t="s">
        <v>493</v>
      </c>
      <c r="F255" s="76">
        <v>3.1</v>
      </c>
      <c r="G255" s="76">
        <v>0</v>
      </c>
      <c r="H255" s="75" t="s">
        <v>148</v>
      </c>
      <c r="I255" s="75" t="s">
        <v>110</v>
      </c>
      <c r="J255" s="75">
        <v>2025</v>
      </c>
      <c r="K255" s="75"/>
    </row>
    <row r="256" spans="1:11" ht="270" customHeight="1" x14ac:dyDescent="0.25">
      <c r="A256" s="74" t="s">
        <v>979</v>
      </c>
      <c r="B256" s="74" t="s">
        <v>454</v>
      </c>
      <c r="C256" s="75" t="s">
        <v>494</v>
      </c>
      <c r="D256" s="75"/>
      <c r="E256" s="75" t="s">
        <v>495</v>
      </c>
      <c r="F256" s="76">
        <v>3.1</v>
      </c>
      <c r="G256" s="76">
        <v>0</v>
      </c>
      <c r="H256" s="75" t="s">
        <v>148</v>
      </c>
      <c r="I256" s="75" t="s">
        <v>110</v>
      </c>
      <c r="J256" s="75">
        <v>2025</v>
      </c>
      <c r="K256" s="75"/>
    </row>
    <row r="257" spans="1:11" ht="270" customHeight="1" x14ac:dyDescent="0.25">
      <c r="A257" s="74" t="s">
        <v>979</v>
      </c>
      <c r="B257" s="74" t="s">
        <v>454</v>
      </c>
      <c r="C257" s="75" t="s">
        <v>496</v>
      </c>
      <c r="D257" s="75"/>
      <c r="E257" s="75" t="s">
        <v>497</v>
      </c>
      <c r="F257" s="76">
        <v>3.1</v>
      </c>
      <c r="G257" s="76">
        <v>0</v>
      </c>
      <c r="H257" s="75" t="s">
        <v>148</v>
      </c>
      <c r="I257" s="75" t="s">
        <v>110</v>
      </c>
      <c r="J257" s="75">
        <v>2025</v>
      </c>
      <c r="K257" s="75"/>
    </row>
    <row r="258" spans="1:11" ht="270" customHeight="1" x14ac:dyDescent="0.25">
      <c r="A258" s="74" t="s">
        <v>979</v>
      </c>
      <c r="B258" s="74" t="s">
        <v>454</v>
      </c>
      <c r="C258" s="75" t="s">
        <v>498</v>
      </c>
      <c r="D258" s="75"/>
      <c r="E258" s="75" t="s">
        <v>499</v>
      </c>
      <c r="F258" s="76">
        <v>3.1</v>
      </c>
      <c r="G258" s="76">
        <v>0</v>
      </c>
      <c r="H258" s="75" t="s">
        <v>148</v>
      </c>
      <c r="I258" s="75" t="s">
        <v>110</v>
      </c>
      <c r="J258" s="75">
        <v>2025</v>
      </c>
      <c r="K258" s="75"/>
    </row>
    <row r="259" spans="1:11" ht="270" customHeight="1" x14ac:dyDescent="0.25">
      <c r="A259" s="74" t="s">
        <v>979</v>
      </c>
      <c r="B259" s="74" t="s">
        <v>454</v>
      </c>
      <c r="C259" s="75" t="s">
        <v>500</v>
      </c>
      <c r="D259" s="75"/>
      <c r="E259" s="75" t="s">
        <v>501</v>
      </c>
      <c r="F259" s="76">
        <v>3.1</v>
      </c>
      <c r="G259" s="76">
        <v>0</v>
      </c>
      <c r="H259" s="75" t="s">
        <v>148</v>
      </c>
      <c r="I259" s="75" t="s">
        <v>110</v>
      </c>
      <c r="J259" s="75">
        <v>2025</v>
      </c>
      <c r="K259" s="75"/>
    </row>
    <row r="260" spans="1:11" ht="270" customHeight="1" x14ac:dyDescent="0.25">
      <c r="A260" s="74" t="s">
        <v>979</v>
      </c>
      <c r="B260" s="74" t="s">
        <v>454</v>
      </c>
      <c r="C260" s="75" t="s">
        <v>502</v>
      </c>
      <c r="D260" s="75"/>
      <c r="E260" s="75" t="s">
        <v>503</v>
      </c>
      <c r="F260" s="76">
        <v>3.1</v>
      </c>
      <c r="G260" s="76">
        <v>0</v>
      </c>
      <c r="H260" s="75" t="s">
        <v>148</v>
      </c>
      <c r="I260" s="75" t="s">
        <v>110</v>
      </c>
      <c r="J260" s="75">
        <v>2025</v>
      </c>
      <c r="K260" s="75"/>
    </row>
    <row r="261" spans="1:11" ht="270" customHeight="1" x14ac:dyDescent="0.25">
      <c r="A261" s="74" t="s">
        <v>979</v>
      </c>
      <c r="B261" s="74" t="s">
        <v>454</v>
      </c>
      <c r="C261" s="75" t="s">
        <v>504</v>
      </c>
      <c r="D261" s="75"/>
      <c r="E261" s="75" t="s">
        <v>505</v>
      </c>
      <c r="F261" s="76">
        <v>3.1</v>
      </c>
      <c r="G261" s="76">
        <v>0</v>
      </c>
      <c r="H261" s="75" t="s">
        <v>148</v>
      </c>
      <c r="I261" s="75" t="s">
        <v>110</v>
      </c>
      <c r="J261" s="75">
        <v>2025</v>
      </c>
      <c r="K261" s="75"/>
    </row>
    <row r="262" spans="1:11" ht="270" customHeight="1" x14ac:dyDescent="0.25">
      <c r="A262" s="74" t="s">
        <v>979</v>
      </c>
      <c r="B262" s="74" t="s">
        <v>454</v>
      </c>
      <c r="C262" s="75" t="s">
        <v>506</v>
      </c>
      <c r="D262" s="75"/>
      <c r="E262" s="75" t="s">
        <v>507</v>
      </c>
      <c r="F262" s="76">
        <v>3.1</v>
      </c>
      <c r="G262" s="76">
        <v>0</v>
      </c>
      <c r="H262" s="75" t="s">
        <v>148</v>
      </c>
      <c r="I262" s="75" t="s">
        <v>110</v>
      </c>
      <c r="J262" s="75">
        <v>2025</v>
      </c>
      <c r="K262" s="75"/>
    </row>
    <row r="263" spans="1:11" ht="270" customHeight="1" x14ac:dyDescent="0.25">
      <c r="A263" s="74" t="s">
        <v>979</v>
      </c>
      <c r="B263" s="74" t="s">
        <v>454</v>
      </c>
      <c r="C263" s="75" t="s">
        <v>508</v>
      </c>
      <c r="D263" s="75"/>
      <c r="E263" s="75" t="s">
        <v>509</v>
      </c>
      <c r="F263" s="76">
        <v>3.1</v>
      </c>
      <c r="G263" s="76">
        <v>0</v>
      </c>
      <c r="H263" s="75" t="s">
        <v>148</v>
      </c>
      <c r="I263" s="75" t="s">
        <v>110</v>
      </c>
      <c r="J263" s="75">
        <v>2025</v>
      </c>
      <c r="K263" s="75"/>
    </row>
    <row r="264" spans="1:11" ht="270" customHeight="1" x14ac:dyDescent="0.25">
      <c r="A264" s="74" t="s">
        <v>979</v>
      </c>
      <c r="B264" s="74" t="s">
        <v>454</v>
      </c>
      <c r="C264" s="75" t="s">
        <v>510</v>
      </c>
      <c r="D264" s="75"/>
      <c r="E264" s="75" t="s">
        <v>511</v>
      </c>
      <c r="F264" s="76">
        <v>3.1</v>
      </c>
      <c r="G264" s="76">
        <v>0</v>
      </c>
      <c r="H264" s="75" t="s">
        <v>148</v>
      </c>
      <c r="I264" s="75" t="s">
        <v>110</v>
      </c>
      <c r="J264" s="75">
        <v>2025</v>
      </c>
      <c r="K264" s="75"/>
    </row>
    <row r="265" spans="1:11" ht="270" customHeight="1" x14ac:dyDescent="0.25">
      <c r="A265" s="74" t="s">
        <v>979</v>
      </c>
      <c r="B265" s="74" t="s">
        <v>454</v>
      </c>
      <c r="C265" s="75" t="s">
        <v>512</v>
      </c>
      <c r="D265" s="75"/>
      <c r="E265" s="75" t="s">
        <v>513</v>
      </c>
      <c r="F265" s="76">
        <v>3.1</v>
      </c>
      <c r="G265" s="76">
        <v>0</v>
      </c>
      <c r="H265" s="75" t="s">
        <v>148</v>
      </c>
      <c r="I265" s="75" t="s">
        <v>110</v>
      </c>
      <c r="J265" s="75">
        <v>2025</v>
      </c>
      <c r="K265" s="75"/>
    </row>
    <row r="266" spans="1:11" ht="270" customHeight="1" x14ac:dyDescent="0.25">
      <c r="A266" s="74" t="s">
        <v>979</v>
      </c>
      <c r="B266" s="74" t="s">
        <v>454</v>
      </c>
      <c r="C266" s="75" t="s">
        <v>514</v>
      </c>
      <c r="D266" s="75"/>
      <c r="E266" s="75" t="s">
        <v>515</v>
      </c>
      <c r="F266" s="76">
        <v>3.1</v>
      </c>
      <c r="G266" s="76">
        <v>0</v>
      </c>
      <c r="H266" s="75" t="s">
        <v>148</v>
      </c>
      <c r="I266" s="75" t="s">
        <v>110</v>
      </c>
      <c r="J266" s="75">
        <v>2025</v>
      </c>
      <c r="K266" s="75"/>
    </row>
    <row r="267" spans="1:11" ht="270" customHeight="1" x14ac:dyDescent="0.25">
      <c r="A267" s="74" t="s">
        <v>979</v>
      </c>
      <c r="B267" s="74" t="s">
        <v>454</v>
      </c>
      <c r="C267" s="75" t="s">
        <v>516</v>
      </c>
      <c r="D267" s="75"/>
      <c r="E267" s="75" t="s">
        <v>517</v>
      </c>
      <c r="F267" s="76">
        <v>3.1</v>
      </c>
      <c r="G267" s="76">
        <v>0</v>
      </c>
      <c r="H267" s="75" t="s">
        <v>148</v>
      </c>
      <c r="I267" s="75" t="s">
        <v>110</v>
      </c>
      <c r="J267" s="75">
        <v>2025</v>
      </c>
      <c r="K267" s="75"/>
    </row>
    <row r="268" spans="1:11" ht="270" customHeight="1" x14ac:dyDescent="0.25">
      <c r="A268" s="74" t="s">
        <v>979</v>
      </c>
      <c r="B268" s="74" t="s">
        <v>454</v>
      </c>
      <c r="C268" s="75" t="s">
        <v>518</v>
      </c>
      <c r="D268" s="75"/>
      <c r="E268" s="75" t="s">
        <v>519</v>
      </c>
      <c r="F268" s="76">
        <v>3.1</v>
      </c>
      <c r="G268" s="76">
        <v>0</v>
      </c>
      <c r="H268" s="75" t="s">
        <v>148</v>
      </c>
      <c r="I268" s="75" t="s">
        <v>110</v>
      </c>
      <c r="J268" s="75">
        <v>2025</v>
      </c>
      <c r="K268" s="75"/>
    </row>
    <row r="269" spans="1:11" ht="270" customHeight="1" x14ac:dyDescent="0.25">
      <c r="A269" s="74" t="s">
        <v>979</v>
      </c>
      <c r="B269" s="74" t="s">
        <v>454</v>
      </c>
      <c r="C269" s="75" t="s">
        <v>520</v>
      </c>
      <c r="D269" s="75"/>
      <c r="E269" s="75" t="s">
        <v>521</v>
      </c>
      <c r="F269" s="76">
        <v>3.1</v>
      </c>
      <c r="G269" s="76">
        <v>0</v>
      </c>
      <c r="H269" s="75" t="s">
        <v>148</v>
      </c>
      <c r="I269" s="75" t="s">
        <v>110</v>
      </c>
      <c r="J269" s="75">
        <v>2025</v>
      </c>
      <c r="K269" s="75"/>
    </row>
    <row r="270" spans="1:11" ht="270" customHeight="1" x14ac:dyDescent="0.25">
      <c r="A270" s="74" t="s">
        <v>979</v>
      </c>
      <c r="B270" s="74" t="s">
        <v>454</v>
      </c>
      <c r="C270" s="75" t="s">
        <v>522</v>
      </c>
      <c r="D270" s="75"/>
      <c r="E270" s="75" t="s">
        <v>523</v>
      </c>
      <c r="F270" s="76">
        <v>3.1</v>
      </c>
      <c r="G270" s="76">
        <v>0</v>
      </c>
      <c r="H270" s="75" t="s">
        <v>148</v>
      </c>
      <c r="I270" s="75" t="s">
        <v>110</v>
      </c>
      <c r="J270" s="75">
        <v>2025</v>
      </c>
      <c r="K270" s="75"/>
    </row>
    <row r="271" spans="1:11" ht="270" customHeight="1" x14ac:dyDescent="0.25">
      <c r="A271" s="74" t="s">
        <v>979</v>
      </c>
      <c r="B271" s="74" t="s">
        <v>454</v>
      </c>
      <c r="C271" s="75" t="s">
        <v>524</v>
      </c>
      <c r="D271" s="75"/>
      <c r="E271" s="75" t="s">
        <v>525</v>
      </c>
      <c r="F271" s="76">
        <v>3.1</v>
      </c>
      <c r="G271" s="76">
        <v>0</v>
      </c>
      <c r="H271" s="75" t="s">
        <v>148</v>
      </c>
      <c r="I271" s="75" t="s">
        <v>110</v>
      </c>
      <c r="J271" s="75">
        <v>2025</v>
      </c>
      <c r="K271" s="75"/>
    </row>
    <row r="272" spans="1:11" ht="270" customHeight="1" x14ac:dyDescent="0.25">
      <c r="A272" s="74" t="s">
        <v>979</v>
      </c>
      <c r="B272" s="74" t="s">
        <v>454</v>
      </c>
      <c r="C272" s="75" t="s">
        <v>526</v>
      </c>
      <c r="D272" s="75"/>
      <c r="E272" s="75" t="s">
        <v>527</v>
      </c>
      <c r="F272" s="76">
        <v>3.1</v>
      </c>
      <c r="G272" s="76">
        <v>0</v>
      </c>
      <c r="H272" s="75" t="s">
        <v>148</v>
      </c>
      <c r="I272" s="75" t="s">
        <v>110</v>
      </c>
      <c r="J272" s="75">
        <v>2025</v>
      </c>
      <c r="K272" s="75"/>
    </row>
    <row r="273" spans="1:11" ht="270" customHeight="1" x14ac:dyDescent="0.25">
      <c r="A273" s="74" t="s">
        <v>979</v>
      </c>
      <c r="B273" s="74" t="s">
        <v>454</v>
      </c>
      <c r="C273" s="75" t="s">
        <v>528</v>
      </c>
      <c r="D273" s="75"/>
      <c r="E273" s="75" t="s">
        <v>529</v>
      </c>
      <c r="F273" s="76">
        <v>3.1</v>
      </c>
      <c r="G273" s="76">
        <v>0</v>
      </c>
      <c r="H273" s="75" t="s">
        <v>148</v>
      </c>
      <c r="I273" s="75" t="s">
        <v>110</v>
      </c>
      <c r="J273" s="75">
        <v>2025</v>
      </c>
      <c r="K273" s="75"/>
    </row>
    <row r="274" spans="1:11" ht="270" customHeight="1" x14ac:dyDescent="0.25">
      <c r="A274" s="74" t="s">
        <v>979</v>
      </c>
      <c r="B274" s="74" t="s">
        <v>454</v>
      </c>
      <c r="C274" s="75" t="s">
        <v>530</v>
      </c>
      <c r="D274" s="75"/>
      <c r="E274" s="75" t="s">
        <v>531</v>
      </c>
      <c r="F274" s="76">
        <v>3.1</v>
      </c>
      <c r="G274" s="76">
        <v>0</v>
      </c>
      <c r="H274" s="75" t="s">
        <v>148</v>
      </c>
      <c r="I274" s="75" t="s">
        <v>110</v>
      </c>
      <c r="J274" s="75">
        <v>2025</v>
      </c>
      <c r="K274" s="75"/>
    </row>
    <row r="275" spans="1:11" ht="270" customHeight="1" x14ac:dyDescent="0.25">
      <c r="A275" s="74" t="s">
        <v>979</v>
      </c>
      <c r="B275" s="74" t="s">
        <v>454</v>
      </c>
      <c r="C275" s="75" t="s">
        <v>532</v>
      </c>
      <c r="D275" s="75"/>
      <c r="E275" s="75" t="s">
        <v>533</v>
      </c>
      <c r="F275" s="76">
        <v>3.1</v>
      </c>
      <c r="G275" s="76">
        <v>0</v>
      </c>
      <c r="H275" s="75" t="s">
        <v>148</v>
      </c>
      <c r="I275" s="75" t="s">
        <v>110</v>
      </c>
      <c r="J275" s="75">
        <v>2025</v>
      </c>
      <c r="K275" s="75"/>
    </row>
    <row r="276" spans="1:11" ht="270" customHeight="1" x14ac:dyDescent="0.25">
      <c r="A276" s="74" t="s">
        <v>979</v>
      </c>
      <c r="B276" s="74" t="s">
        <v>454</v>
      </c>
      <c r="C276" s="75" t="s">
        <v>534</v>
      </c>
      <c r="D276" s="75"/>
      <c r="E276" s="75" t="s">
        <v>535</v>
      </c>
      <c r="F276" s="76">
        <v>3.1</v>
      </c>
      <c r="G276" s="76">
        <v>0</v>
      </c>
      <c r="H276" s="75" t="s">
        <v>148</v>
      </c>
      <c r="I276" s="75" t="s">
        <v>110</v>
      </c>
      <c r="J276" s="75">
        <v>2025</v>
      </c>
      <c r="K276" s="75"/>
    </row>
    <row r="277" spans="1:11" ht="270" customHeight="1" x14ac:dyDescent="0.25">
      <c r="A277" s="74" t="s">
        <v>979</v>
      </c>
      <c r="B277" s="74" t="s">
        <v>454</v>
      </c>
      <c r="C277" s="75" t="s">
        <v>536</v>
      </c>
      <c r="D277" s="75"/>
      <c r="E277" s="75" t="s">
        <v>537</v>
      </c>
      <c r="F277" s="76">
        <v>3.1</v>
      </c>
      <c r="G277" s="76">
        <v>0</v>
      </c>
      <c r="H277" s="75" t="s">
        <v>148</v>
      </c>
      <c r="I277" s="75" t="s">
        <v>110</v>
      </c>
      <c r="J277" s="75">
        <v>2025</v>
      </c>
      <c r="K277" s="75"/>
    </row>
    <row r="278" spans="1:11" ht="270" customHeight="1" x14ac:dyDescent="0.25">
      <c r="A278" s="74" t="s">
        <v>979</v>
      </c>
      <c r="B278" s="74" t="s">
        <v>454</v>
      </c>
      <c r="C278" s="75" t="s">
        <v>538</v>
      </c>
      <c r="D278" s="75"/>
      <c r="E278" s="75" t="s">
        <v>539</v>
      </c>
      <c r="F278" s="76">
        <v>3.1</v>
      </c>
      <c r="G278" s="76">
        <v>0</v>
      </c>
      <c r="H278" s="75" t="s">
        <v>148</v>
      </c>
      <c r="I278" s="75" t="s">
        <v>110</v>
      </c>
      <c r="J278" s="75">
        <v>2025</v>
      </c>
      <c r="K278" s="75"/>
    </row>
    <row r="279" spans="1:11" ht="270" customHeight="1" x14ac:dyDescent="0.25">
      <c r="A279" s="74" t="s">
        <v>979</v>
      </c>
      <c r="B279" s="74" t="s">
        <v>454</v>
      </c>
      <c r="C279" s="75" t="s">
        <v>540</v>
      </c>
      <c r="D279" s="75"/>
      <c r="E279" s="75" t="s">
        <v>541</v>
      </c>
      <c r="F279" s="76">
        <v>3.1</v>
      </c>
      <c r="G279" s="76">
        <v>0</v>
      </c>
      <c r="H279" s="75" t="s">
        <v>148</v>
      </c>
      <c r="I279" s="75" t="s">
        <v>110</v>
      </c>
      <c r="J279" s="75">
        <v>2025</v>
      </c>
      <c r="K279" s="75"/>
    </row>
    <row r="280" spans="1:11" ht="270" customHeight="1" x14ac:dyDescent="0.25">
      <c r="A280" s="74" t="s">
        <v>979</v>
      </c>
      <c r="B280" s="74" t="s">
        <v>542</v>
      </c>
      <c r="C280" s="75" t="s">
        <v>543</v>
      </c>
      <c r="D280" s="75"/>
      <c r="E280" s="75" t="s">
        <v>544</v>
      </c>
      <c r="F280" s="76" t="s">
        <v>545</v>
      </c>
      <c r="G280" s="76">
        <v>0</v>
      </c>
      <c r="H280" s="75" t="s">
        <v>148</v>
      </c>
      <c r="I280" s="75" t="s">
        <v>110</v>
      </c>
      <c r="J280" s="75">
        <v>2025</v>
      </c>
      <c r="K280" s="75"/>
    </row>
    <row r="281" spans="1:11" ht="270" customHeight="1" x14ac:dyDescent="0.25">
      <c r="A281" s="74" t="s">
        <v>979</v>
      </c>
      <c r="B281" s="74" t="s">
        <v>542</v>
      </c>
      <c r="C281" s="75" t="s">
        <v>546</v>
      </c>
      <c r="D281" s="75"/>
      <c r="E281" s="75" t="s">
        <v>547</v>
      </c>
      <c r="F281" s="76" t="s">
        <v>545</v>
      </c>
      <c r="G281" s="76">
        <v>0</v>
      </c>
      <c r="H281" s="75" t="s">
        <v>148</v>
      </c>
      <c r="I281" s="75" t="s">
        <v>110</v>
      </c>
      <c r="J281" s="75">
        <v>2025</v>
      </c>
      <c r="K281" s="75"/>
    </row>
    <row r="282" spans="1:11" ht="270" customHeight="1" x14ac:dyDescent="0.25">
      <c r="A282" s="74" t="s">
        <v>979</v>
      </c>
      <c r="B282" s="74" t="s">
        <v>542</v>
      </c>
      <c r="C282" s="75" t="s">
        <v>548</v>
      </c>
      <c r="D282" s="75"/>
      <c r="E282" s="75" t="s">
        <v>549</v>
      </c>
      <c r="F282" s="76" t="s">
        <v>545</v>
      </c>
      <c r="G282" s="76">
        <v>0</v>
      </c>
      <c r="H282" s="75" t="s">
        <v>148</v>
      </c>
      <c r="I282" s="75" t="s">
        <v>110</v>
      </c>
      <c r="J282" s="75">
        <v>2025</v>
      </c>
      <c r="K282" s="75"/>
    </row>
    <row r="283" spans="1:11" ht="270" customHeight="1" x14ac:dyDescent="0.25">
      <c r="A283" s="74" t="s">
        <v>979</v>
      </c>
      <c r="B283" s="74" t="s">
        <v>542</v>
      </c>
      <c r="C283" s="75" t="s">
        <v>550</v>
      </c>
      <c r="D283" s="75"/>
      <c r="E283" s="75" t="s">
        <v>551</v>
      </c>
      <c r="F283" s="76" t="s">
        <v>545</v>
      </c>
      <c r="G283" s="76">
        <v>0</v>
      </c>
      <c r="H283" s="75" t="s">
        <v>148</v>
      </c>
      <c r="I283" s="75" t="s">
        <v>110</v>
      </c>
      <c r="J283" s="75">
        <v>2025</v>
      </c>
      <c r="K283" s="75"/>
    </row>
    <row r="284" spans="1:11" ht="270" customHeight="1" x14ac:dyDescent="0.25">
      <c r="A284" s="74" t="s">
        <v>979</v>
      </c>
      <c r="B284" s="74" t="s">
        <v>542</v>
      </c>
      <c r="C284" s="75" t="s">
        <v>552</v>
      </c>
      <c r="D284" s="75"/>
      <c r="E284" s="75" t="s">
        <v>553</v>
      </c>
      <c r="F284" s="76" t="s">
        <v>545</v>
      </c>
      <c r="G284" s="76">
        <v>0</v>
      </c>
      <c r="H284" s="75" t="s">
        <v>148</v>
      </c>
      <c r="I284" s="75" t="s">
        <v>110</v>
      </c>
      <c r="J284" s="75">
        <v>2025</v>
      </c>
      <c r="K284" s="75"/>
    </row>
    <row r="285" spans="1:11" ht="270" customHeight="1" x14ac:dyDescent="0.25">
      <c r="A285" s="74" t="s">
        <v>979</v>
      </c>
      <c r="B285" s="74" t="s">
        <v>542</v>
      </c>
      <c r="C285" s="75" t="s">
        <v>554</v>
      </c>
      <c r="D285" s="75"/>
      <c r="E285" s="75" t="s">
        <v>555</v>
      </c>
      <c r="F285" s="76" t="s">
        <v>545</v>
      </c>
      <c r="G285" s="76">
        <v>0</v>
      </c>
      <c r="H285" s="75" t="s">
        <v>148</v>
      </c>
      <c r="I285" s="75" t="s">
        <v>110</v>
      </c>
      <c r="J285" s="75">
        <v>2025</v>
      </c>
      <c r="K285" s="75"/>
    </row>
    <row r="286" spans="1:11" ht="270" customHeight="1" x14ac:dyDescent="0.25">
      <c r="A286" s="74" t="s">
        <v>979</v>
      </c>
      <c r="B286" s="74" t="s">
        <v>542</v>
      </c>
      <c r="C286" s="75" t="s">
        <v>556</v>
      </c>
      <c r="D286" s="75"/>
      <c r="E286" s="75" t="s">
        <v>557</v>
      </c>
      <c r="F286" s="76" t="s">
        <v>545</v>
      </c>
      <c r="G286" s="76">
        <v>0</v>
      </c>
      <c r="H286" s="75" t="s">
        <v>148</v>
      </c>
      <c r="I286" s="75" t="s">
        <v>110</v>
      </c>
      <c r="J286" s="75">
        <v>2025</v>
      </c>
      <c r="K286" s="75"/>
    </row>
    <row r="287" spans="1:11" ht="270" customHeight="1" x14ac:dyDescent="0.25">
      <c r="A287" s="74" t="s">
        <v>979</v>
      </c>
      <c r="B287" s="74" t="s">
        <v>542</v>
      </c>
      <c r="C287" s="75" t="s">
        <v>558</v>
      </c>
      <c r="D287" s="75"/>
      <c r="E287" s="75" t="s">
        <v>559</v>
      </c>
      <c r="F287" s="76" t="s">
        <v>545</v>
      </c>
      <c r="G287" s="76">
        <v>0</v>
      </c>
      <c r="H287" s="75" t="s">
        <v>148</v>
      </c>
      <c r="I287" s="75" t="s">
        <v>110</v>
      </c>
      <c r="J287" s="75">
        <v>2025</v>
      </c>
      <c r="K287" s="75"/>
    </row>
    <row r="288" spans="1:11" ht="270" customHeight="1" x14ac:dyDescent="0.25">
      <c r="A288" s="74" t="s">
        <v>979</v>
      </c>
      <c r="B288" s="74" t="s">
        <v>542</v>
      </c>
      <c r="C288" s="75" t="s">
        <v>560</v>
      </c>
      <c r="D288" s="75"/>
      <c r="E288" s="75" t="s">
        <v>561</v>
      </c>
      <c r="F288" s="76" t="s">
        <v>545</v>
      </c>
      <c r="G288" s="76">
        <v>0</v>
      </c>
      <c r="H288" s="75" t="s">
        <v>148</v>
      </c>
      <c r="I288" s="75" t="s">
        <v>110</v>
      </c>
      <c r="J288" s="75">
        <v>2025</v>
      </c>
      <c r="K288" s="75"/>
    </row>
    <row r="289" spans="1:11" ht="270" customHeight="1" x14ac:dyDescent="0.25">
      <c r="A289" s="74" t="s">
        <v>979</v>
      </c>
      <c r="B289" s="74" t="s">
        <v>542</v>
      </c>
      <c r="C289" s="75" t="s">
        <v>562</v>
      </c>
      <c r="D289" s="75"/>
      <c r="E289" s="75" t="s">
        <v>563</v>
      </c>
      <c r="F289" s="76" t="s">
        <v>545</v>
      </c>
      <c r="G289" s="76">
        <v>0</v>
      </c>
      <c r="H289" s="75" t="s">
        <v>148</v>
      </c>
      <c r="I289" s="75" t="s">
        <v>110</v>
      </c>
      <c r="J289" s="75">
        <v>2025</v>
      </c>
      <c r="K289" s="75"/>
    </row>
    <row r="290" spans="1:11" ht="270" customHeight="1" x14ac:dyDescent="0.25">
      <c r="A290" s="74" t="s">
        <v>979</v>
      </c>
      <c r="B290" s="74" t="s">
        <v>542</v>
      </c>
      <c r="C290" s="75" t="s">
        <v>564</v>
      </c>
      <c r="D290" s="75"/>
      <c r="E290" s="75" t="s">
        <v>565</v>
      </c>
      <c r="F290" s="76" t="s">
        <v>545</v>
      </c>
      <c r="G290" s="76">
        <v>0</v>
      </c>
      <c r="H290" s="75" t="s">
        <v>148</v>
      </c>
      <c r="I290" s="75" t="s">
        <v>110</v>
      </c>
      <c r="J290" s="75">
        <v>2025</v>
      </c>
      <c r="K290" s="75"/>
    </row>
    <row r="291" spans="1:11" ht="270" customHeight="1" x14ac:dyDescent="0.25">
      <c r="A291" s="74" t="s">
        <v>979</v>
      </c>
      <c r="B291" s="74" t="s">
        <v>542</v>
      </c>
      <c r="C291" s="75" t="s">
        <v>566</v>
      </c>
      <c r="D291" s="75"/>
      <c r="E291" s="75" t="s">
        <v>567</v>
      </c>
      <c r="F291" s="76" t="s">
        <v>545</v>
      </c>
      <c r="G291" s="76">
        <v>0</v>
      </c>
      <c r="H291" s="75" t="s">
        <v>148</v>
      </c>
      <c r="I291" s="75" t="s">
        <v>110</v>
      </c>
      <c r="J291" s="75">
        <v>2025</v>
      </c>
      <c r="K291" s="75"/>
    </row>
    <row r="292" spans="1:11" ht="270" customHeight="1" x14ac:dyDescent="0.25">
      <c r="A292" s="74" t="s">
        <v>979</v>
      </c>
      <c r="B292" s="74" t="s">
        <v>542</v>
      </c>
      <c r="C292" s="75" t="s">
        <v>568</v>
      </c>
      <c r="D292" s="75"/>
      <c r="E292" s="75" t="s">
        <v>569</v>
      </c>
      <c r="F292" s="76" t="s">
        <v>545</v>
      </c>
      <c r="G292" s="76">
        <v>0</v>
      </c>
      <c r="H292" s="75" t="s">
        <v>148</v>
      </c>
      <c r="I292" s="75" t="s">
        <v>110</v>
      </c>
      <c r="J292" s="75">
        <v>2025</v>
      </c>
      <c r="K292" s="75"/>
    </row>
    <row r="293" spans="1:11" ht="270" customHeight="1" x14ac:dyDescent="0.25">
      <c r="A293" s="74" t="s">
        <v>979</v>
      </c>
      <c r="B293" s="74" t="s">
        <v>542</v>
      </c>
      <c r="C293" s="75" t="s">
        <v>570</v>
      </c>
      <c r="D293" s="75"/>
      <c r="E293" s="75" t="s">
        <v>571</v>
      </c>
      <c r="F293" s="76" t="s">
        <v>545</v>
      </c>
      <c r="G293" s="76">
        <v>0</v>
      </c>
      <c r="H293" s="75" t="s">
        <v>148</v>
      </c>
      <c r="I293" s="75" t="s">
        <v>110</v>
      </c>
      <c r="J293" s="75">
        <v>2025</v>
      </c>
      <c r="K293" s="75"/>
    </row>
    <row r="294" spans="1:11" ht="270" customHeight="1" x14ac:dyDescent="0.25">
      <c r="A294" s="74" t="s">
        <v>979</v>
      </c>
      <c r="B294" s="74" t="s">
        <v>542</v>
      </c>
      <c r="C294" s="75" t="s">
        <v>958</v>
      </c>
      <c r="D294" s="75" t="s">
        <v>959</v>
      </c>
      <c r="E294" s="75" t="s">
        <v>960</v>
      </c>
      <c r="F294" s="76" t="s">
        <v>545</v>
      </c>
      <c r="G294" s="76">
        <v>0</v>
      </c>
      <c r="H294" s="75" t="s">
        <v>148</v>
      </c>
      <c r="I294" s="75" t="s">
        <v>110</v>
      </c>
      <c r="J294" s="75">
        <v>2025</v>
      </c>
      <c r="K294" s="75"/>
    </row>
    <row r="295" spans="1:11" ht="270" customHeight="1" x14ac:dyDescent="0.25">
      <c r="A295" s="74" t="s">
        <v>979</v>
      </c>
      <c r="B295" s="74" t="s">
        <v>542</v>
      </c>
      <c r="C295" s="75" t="s">
        <v>570</v>
      </c>
      <c r="D295" s="75"/>
      <c r="E295" s="75" t="s">
        <v>571</v>
      </c>
      <c r="F295" s="76" t="s">
        <v>545</v>
      </c>
      <c r="G295" s="76">
        <v>0</v>
      </c>
      <c r="H295" s="75" t="s">
        <v>148</v>
      </c>
      <c r="I295" s="75" t="s">
        <v>110</v>
      </c>
      <c r="J295" s="75">
        <v>2025</v>
      </c>
      <c r="K295" s="75"/>
    </row>
    <row r="296" spans="1:11" ht="270" customHeight="1" x14ac:dyDescent="0.25">
      <c r="A296" s="74" t="s">
        <v>979</v>
      </c>
      <c r="B296" s="74" t="s">
        <v>542</v>
      </c>
      <c r="C296" s="75" t="s">
        <v>572</v>
      </c>
      <c r="D296" s="75"/>
      <c r="E296" s="75" t="s">
        <v>573</v>
      </c>
      <c r="F296" s="76" t="s">
        <v>545</v>
      </c>
      <c r="G296" s="76">
        <v>0</v>
      </c>
      <c r="H296" s="75" t="s">
        <v>148</v>
      </c>
      <c r="I296" s="75" t="s">
        <v>110</v>
      </c>
      <c r="J296" s="75">
        <v>2025</v>
      </c>
      <c r="K296" s="75"/>
    </row>
    <row r="297" spans="1:11" ht="270" customHeight="1" x14ac:dyDescent="0.25">
      <c r="A297" s="74" t="s">
        <v>979</v>
      </c>
      <c r="B297" s="74" t="s">
        <v>542</v>
      </c>
      <c r="C297" s="75" t="s">
        <v>574</v>
      </c>
      <c r="D297" s="75"/>
      <c r="E297" s="75" t="s">
        <v>575</v>
      </c>
      <c r="F297" s="76" t="s">
        <v>545</v>
      </c>
      <c r="G297" s="76">
        <v>0</v>
      </c>
      <c r="H297" s="75" t="s">
        <v>148</v>
      </c>
      <c r="I297" s="75" t="s">
        <v>110</v>
      </c>
      <c r="J297" s="75">
        <v>2025</v>
      </c>
      <c r="K297" s="75"/>
    </row>
    <row r="298" spans="1:11" ht="270" customHeight="1" x14ac:dyDescent="0.25">
      <c r="A298" s="74" t="s">
        <v>979</v>
      </c>
      <c r="B298" s="74" t="s">
        <v>542</v>
      </c>
      <c r="C298" s="75" t="s">
        <v>576</v>
      </c>
      <c r="D298" s="75"/>
      <c r="E298" s="75" t="s">
        <v>577</v>
      </c>
      <c r="F298" s="76" t="s">
        <v>545</v>
      </c>
      <c r="G298" s="76">
        <v>0</v>
      </c>
      <c r="H298" s="75" t="s">
        <v>148</v>
      </c>
      <c r="I298" s="75" t="s">
        <v>110</v>
      </c>
      <c r="J298" s="75">
        <v>2025</v>
      </c>
      <c r="K298" s="75"/>
    </row>
    <row r="299" spans="1:11" ht="270" customHeight="1" x14ac:dyDescent="0.25">
      <c r="A299" s="74" t="s">
        <v>979</v>
      </c>
      <c r="B299" s="74" t="s">
        <v>542</v>
      </c>
      <c r="C299" s="75" t="s">
        <v>578</v>
      </c>
      <c r="D299" s="75"/>
      <c r="E299" s="75" t="s">
        <v>579</v>
      </c>
      <c r="F299" s="76" t="s">
        <v>545</v>
      </c>
      <c r="G299" s="76">
        <v>0</v>
      </c>
      <c r="H299" s="75" t="s">
        <v>148</v>
      </c>
      <c r="I299" s="75" t="s">
        <v>110</v>
      </c>
      <c r="J299" s="75">
        <v>2025</v>
      </c>
      <c r="K299" s="75"/>
    </row>
    <row r="300" spans="1:11" ht="270" customHeight="1" x14ac:dyDescent="0.25">
      <c r="A300" s="74" t="s">
        <v>979</v>
      </c>
      <c r="B300" s="74" t="s">
        <v>542</v>
      </c>
      <c r="C300" s="75" t="s">
        <v>580</v>
      </c>
      <c r="D300" s="75"/>
      <c r="E300" s="75" t="s">
        <v>581</v>
      </c>
      <c r="F300" s="76" t="s">
        <v>545</v>
      </c>
      <c r="G300" s="76">
        <v>0</v>
      </c>
      <c r="H300" s="75" t="s">
        <v>148</v>
      </c>
      <c r="I300" s="75" t="s">
        <v>110</v>
      </c>
      <c r="J300" s="75">
        <v>2025</v>
      </c>
      <c r="K300" s="75"/>
    </row>
    <row r="301" spans="1:11" ht="270" customHeight="1" x14ac:dyDescent="0.25">
      <c r="A301" s="74" t="s">
        <v>979</v>
      </c>
      <c r="B301" s="74" t="s">
        <v>542</v>
      </c>
      <c r="C301" s="75" t="s">
        <v>582</v>
      </c>
      <c r="D301" s="75"/>
      <c r="E301" s="75" t="s">
        <v>583</v>
      </c>
      <c r="F301" s="76" t="s">
        <v>545</v>
      </c>
      <c r="G301" s="76">
        <v>0</v>
      </c>
      <c r="H301" s="75" t="s">
        <v>148</v>
      </c>
      <c r="I301" s="75" t="s">
        <v>110</v>
      </c>
      <c r="J301" s="75">
        <v>2025</v>
      </c>
      <c r="K301" s="75"/>
    </row>
    <row r="302" spans="1:11" ht="270" customHeight="1" x14ac:dyDescent="0.25">
      <c r="A302" s="74" t="s">
        <v>979</v>
      </c>
      <c r="B302" s="74" t="s">
        <v>542</v>
      </c>
      <c r="C302" s="75" t="s">
        <v>584</v>
      </c>
      <c r="D302" s="75"/>
      <c r="E302" s="75" t="s">
        <v>585</v>
      </c>
      <c r="F302" s="76" t="s">
        <v>545</v>
      </c>
      <c r="G302" s="76">
        <v>0</v>
      </c>
      <c r="H302" s="75" t="s">
        <v>148</v>
      </c>
      <c r="I302" s="75" t="s">
        <v>110</v>
      </c>
      <c r="J302" s="75">
        <v>2025</v>
      </c>
      <c r="K302" s="75"/>
    </row>
    <row r="303" spans="1:11" ht="270" customHeight="1" x14ac:dyDescent="0.25">
      <c r="A303" s="74" t="s">
        <v>979</v>
      </c>
      <c r="B303" s="74" t="s">
        <v>586</v>
      </c>
      <c r="C303" s="75" t="s">
        <v>587</v>
      </c>
      <c r="D303" s="75"/>
      <c r="E303" s="75" t="s">
        <v>588</v>
      </c>
      <c r="F303" s="76">
        <v>0</v>
      </c>
      <c r="G303" s="76">
        <v>0</v>
      </c>
      <c r="H303" s="75" t="s">
        <v>148</v>
      </c>
      <c r="I303" s="75" t="s">
        <v>110</v>
      </c>
      <c r="J303" s="75">
        <v>2025</v>
      </c>
      <c r="K303" s="75"/>
    </row>
    <row r="304" spans="1:11" ht="270" customHeight="1" x14ac:dyDescent="0.25">
      <c r="A304" s="74" t="s">
        <v>979</v>
      </c>
      <c r="B304" s="74" t="s">
        <v>586</v>
      </c>
      <c r="C304" s="75" t="s">
        <v>589</v>
      </c>
      <c r="D304" s="75"/>
      <c r="E304" s="75" t="s">
        <v>590</v>
      </c>
      <c r="F304" s="76">
        <v>0</v>
      </c>
      <c r="G304" s="76">
        <v>0</v>
      </c>
      <c r="H304" s="75" t="s">
        <v>148</v>
      </c>
      <c r="I304" s="75" t="s">
        <v>110</v>
      </c>
      <c r="J304" s="75">
        <v>2025</v>
      </c>
      <c r="K304" s="75"/>
    </row>
    <row r="305" spans="1:11" ht="270" customHeight="1" x14ac:dyDescent="0.25">
      <c r="A305" s="74" t="s">
        <v>979</v>
      </c>
      <c r="B305" s="74" t="s">
        <v>586</v>
      </c>
      <c r="C305" s="75" t="s">
        <v>591</v>
      </c>
      <c r="D305" s="75"/>
      <c r="E305" s="75" t="s">
        <v>592</v>
      </c>
      <c r="F305" s="76">
        <v>0</v>
      </c>
      <c r="G305" s="76">
        <v>0</v>
      </c>
      <c r="H305" s="75" t="s">
        <v>148</v>
      </c>
      <c r="I305" s="75" t="s">
        <v>110</v>
      </c>
      <c r="J305" s="75">
        <v>2025</v>
      </c>
      <c r="K305" s="75"/>
    </row>
    <row r="306" spans="1:11" ht="270" customHeight="1" x14ac:dyDescent="0.25">
      <c r="A306" s="74" t="s">
        <v>979</v>
      </c>
      <c r="B306" s="74" t="s">
        <v>586</v>
      </c>
      <c r="C306" s="75" t="s">
        <v>593</v>
      </c>
      <c r="D306" s="75"/>
      <c r="E306" s="75" t="s">
        <v>594</v>
      </c>
      <c r="F306" s="76">
        <v>0</v>
      </c>
      <c r="G306" s="76">
        <v>0</v>
      </c>
      <c r="H306" s="75" t="s">
        <v>148</v>
      </c>
      <c r="I306" s="75" t="s">
        <v>110</v>
      </c>
      <c r="J306" s="75">
        <v>2025</v>
      </c>
      <c r="K306" s="75"/>
    </row>
    <row r="307" spans="1:11" ht="270" customHeight="1" x14ac:dyDescent="0.25">
      <c r="A307" s="74" t="s">
        <v>979</v>
      </c>
      <c r="B307" s="74" t="s">
        <v>586</v>
      </c>
      <c r="C307" s="75" t="s">
        <v>595</v>
      </c>
      <c r="D307" s="75"/>
      <c r="E307" s="75" t="s">
        <v>596</v>
      </c>
      <c r="F307" s="76">
        <v>0</v>
      </c>
      <c r="G307" s="76">
        <v>0</v>
      </c>
      <c r="H307" s="75" t="s">
        <v>148</v>
      </c>
      <c r="I307" s="75" t="s">
        <v>110</v>
      </c>
      <c r="J307" s="75">
        <v>2025</v>
      </c>
      <c r="K307" s="75"/>
    </row>
    <row r="308" spans="1:11" ht="270" customHeight="1" x14ac:dyDescent="0.25">
      <c r="A308" s="74" t="s">
        <v>979</v>
      </c>
      <c r="B308" s="74" t="s">
        <v>586</v>
      </c>
      <c r="C308" s="75" t="s">
        <v>597</v>
      </c>
      <c r="D308" s="75"/>
      <c r="E308" s="75" t="s">
        <v>598</v>
      </c>
      <c r="F308" s="76">
        <v>0</v>
      </c>
      <c r="G308" s="76">
        <v>0</v>
      </c>
      <c r="H308" s="75" t="s">
        <v>148</v>
      </c>
      <c r="I308" s="75" t="s">
        <v>110</v>
      </c>
      <c r="J308" s="75">
        <v>2025</v>
      </c>
      <c r="K308" s="75"/>
    </row>
    <row r="309" spans="1:11" ht="270" customHeight="1" x14ac:dyDescent="0.25">
      <c r="A309" s="74" t="s">
        <v>25</v>
      </c>
      <c r="B309" s="74" t="s">
        <v>599</v>
      </c>
      <c r="C309" s="75" t="s">
        <v>600</v>
      </c>
      <c r="D309" s="75"/>
      <c r="E309" s="75" t="s">
        <v>601</v>
      </c>
      <c r="F309" s="76"/>
      <c r="G309" s="76">
        <v>0</v>
      </c>
      <c r="H309" s="75" t="s">
        <v>148</v>
      </c>
      <c r="I309" s="75" t="s">
        <v>110</v>
      </c>
      <c r="J309" s="75">
        <v>2025</v>
      </c>
      <c r="K309" s="75"/>
    </row>
    <row r="310" spans="1:11" ht="270" customHeight="1" x14ac:dyDescent="0.25">
      <c r="A310" s="74" t="s">
        <v>25</v>
      </c>
      <c r="B310" s="74" t="s">
        <v>599</v>
      </c>
      <c r="C310" s="75" t="s">
        <v>602</v>
      </c>
      <c r="D310" s="75"/>
      <c r="E310" s="75" t="s">
        <v>603</v>
      </c>
      <c r="F310" s="76"/>
      <c r="G310" s="76">
        <v>0</v>
      </c>
      <c r="H310" s="75" t="s">
        <v>148</v>
      </c>
      <c r="I310" s="75" t="s">
        <v>110</v>
      </c>
      <c r="J310" s="75">
        <v>2025</v>
      </c>
      <c r="K310" s="75"/>
    </row>
    <row r="311" spans="1:11" ht="270" customHeight="1" x14ac:dyDescent="0.25">
      <c r="A311" s="74" t="s">
        <v>25</v>
      </c>
      <c r="B311" s="74" t="s">
        <v>599</v>
      </c>
      <c r="C311" s="75" t="s">
        <v>604</v>
      </c>
      <c r="D311" s="75"/>
      <c r="E311" s="75" t="s">
        <v>605</v>
      </c>
      <c r="F311" s="76"/>
      <c r="G311" s="76">
        <v>0</v>
      </c>
      <c r="H311" s="75" t="s">
        <v>148</v>
      </c>
      <c r="I311" s="75" t="s">
        <v>110</v>
      </c>
      <c r="J311" s="75">
        <v>2025</v>
      </c>
      <c r="K311" s="75"/>
    </row>
    <row r="312" spans="1:11" ht="270" customHeight="1" x14ac:dyDescent="0.25">
      <c r="A312" s="74" t="s">
        <v>25</v>
      </c>
      <c r="B312" s="74" t="s">
        <v>599</v>
      </c>
      <c r="C312" s="75" t="s">
        <v>606</v>
      </c>
      <c r="D312" s="75"/>
      <c r="E312" s="75" t="s">
        <v>607</v>
      </c>
      <c r="F312" s="76"/>
      <c r="G312" s="76">
        <v>0</v>
      </c>
      <c r="H312" s="75" t="s">
        <v>148</v>
      </c>
      <c r="I312" s="75" t="s">
        <v>110</v>
      </c>
      <c r="J312" s="75">
        <v>2025</v>
      </c>
      <c r="K312" s="75"/>
    </row>
    <row r="313" spans="1:11" ht="270" customHeight="1" x14ac:dyDescent="0.25">
      <c r="A313" s="74" t="s">
        <v>25</v>
      </c>
      <c r="B313" s="74" t="s">
        <v>599</v>
      </c>
      <c r="C313" s="75" t="s">
        <v>608</v>
      </c>
      <c r="D313" s="75"/>
      <c r="E313" s="75" t="s">
        <v>609</v>
      </c>
      <c r="F313" s="76"/>
      <c r="G313" s="76">
        <v>0</v>
      </c>
      <c r="H313" s="75" t="s">
        <v>148</v>
      </c>
      <c r="I313" s="75" t="s">
        <v>110</v>
      </c>
      <c r="J313" s="75">
        <v>2025</v>
      </c>
      <c r="K313" s="75"/>
    </row>
    <row r="314" spans="1:11" ht="270" customHeight="1" x14ac:dyDescent="0.25">
      <c r="A314" s="74" t="s">
        <v>25</v>
      </c>
      <c r="B314" s="74" t="s">
        <v>599</v>
      </c>
      <c r="C314" s="75" t="s">
        <v>949</v>
      </c>
      <c r="D314" s="75" t="s">
        <v>950</v>
      </c>
      <c r="E314" s="75" t="s">
        <v>951</v>
      </c>
      <c r="F314" s="76"/>
      <c r="G314" s="76">
        <v>0</v>
      </c>
      <c r="H314" s="75" t="s">
        <v>148</v>
      </c>
      <c r="I314" s="75" t="s">
        <v>110</v>
      </c>
      <c r="J314" s="75">
        <v>2025</v>
      </c>
      <c r="K314" s="75"/>
    </row>
    <row r="315" spans="1:11" ht="270" customHeight="1" x14ac:dyDescent="0.25">
      <c r="A315" s="74" t="s">
        <v>26</v>
      </c>
      <c r="B315" s="74" t="s">
        <v>610</v>
      </c>
      <c r="C315" s="75" t="s">
        <v>611</v>
      </c>
      <c r="D315" s="75"/>
      <c r="E315" s="75" t="s">
        <v>612</v>
      </c>
      <c r="F315" s="76"/>
      <c r="G315" s="76">
        <v>0</v>
      </c>
      <c r="H315" s="75"/>
      <c r="I315" s="75"/>
      <c r="J315" s="75"/>
      <c r="K315" s="75"/>
    </row>
    <row r="316" spans="1:11" ht="270" customHeight="1" x14ac:dyDescent="0.25">
      <c r="A316" s="74" t="s">
        <v>26</v>
      </c>
      <c r="B316" s="74" t="s">
        <v>610</v>
      </c>
      <c r="C316" s="75" t="s">
        <v>613</v>
      </c>
      <c r="D316" s="75"/>
      <c r="E316" s="75" t="s">
        <v>614</v>
      </c>
      <c r="F316" s="76"/>
      <c r="G316" s="76">
        <v>0</v>
      </c>
      <c r="H316" s="75"/>
      <c r="I316" s="75"/>
      <c r="J316" s="75"/>
      <c r="K316" s="75"/>
    </row>
    <row r="317" spans="1:11" ht="270" customHeight="1" x14ac:dyDescent="0.25">
      <c r="A317" s="74" t="s">
        <v>26</v>
      </c>
      <c r="B317" s="74" t="s">
        <v>610</v>
      </c>
      <c r="C317" s="75" t="s">
        <v>615</v>
      </c>
      <c r="D317" s="75"/>
      <c r="E317" s="75" t="s">
        <v>616</v>
      </c>
      <c r="F317" s="76"/>
      <c r="G317" s="76">
        <v>0</v>
      </c>
      <c r="H317" s="75"/>
      <c r="I317" s="75"/>
      <c r="J317" s="75"/>
      <c r="K317" s="75"/>
    </row>
    <row r="318" spans="1:11" ht="270" customHeight="1" x14ac:dyDescent="0.25">
      <c r="A318" s="74" t="s">
        <v>26</v>
      </c>
      <c r="B318" s="74" t="s">
        <v>610</v>
      </c>
      <c r="C318" s="75" t="s">
        <v>617</v>
      </c>
      <c r="D318" s="75"/>
      <c r="E318" s="75" t="s">
        <v>618</v>
      </c>
      <c r="F318" s="76"/>
      <c r="G318" s="76">
        <v>0</v>
      </c>
      <c r="H318" s="75"/>
      <c r="I318" s="75"/>
      <c r="J318" s="75"/>
      <c r="K318" s="75"/>
    </row>
    <row r="319" spans="1:11" ht="270" customHeight="1" x14ac:dyDescent="0.25">
      <c r="A319" s="74" t="s">
        <v>26</v>
      </c>
      <c r="B319" s="74" t="s">
        <v>610</v>
      </c>
      <c r="C319" s="75" t="s">
        <v>619</v>
      </c>
      <c r="D319" s="75"/>
      <c r="E319" s="75" t="s">
        <v>620</v>
      </c>
      <c r="F319" s="76"/>
      <c r="G319" s="76">
        <v>0</v>
      </c>
      <c r="H319" s="75"/>
      <c r="I319" s="75"/>
      <c r="J319" s="75"/>
      <c r="K319" s="75"/>
    </row>
    <row r="320" spans="1:11" ht="270" customHeight="1" x14ac:dyDescent="0.25">
      <c r="A320" s="74" t="s">
        <v>26</v>
      </c>
      <c r="B320" s="74" t="s">
        <v>610</v>
      </c>
      <c r="C320" s="75" t="s">
        <v>621</v>
      </c>
      <c r="D320" s="75"/>
      <c r="E320" s="75" t="s">
        <v>622</v>
      </c>
      <c r="F320" s="76"/>
      <c r="G320" s="76">
        <v>0</v>
      </c>
      <c r="H320" s="75"/>
      <c r="I320" s="75"/>
      <c r="J320" s="75"/>
      <c r="K320" s="75"/>
    </row>
    <row r="321" spans="1:11" ht="270" customHeight="1" x14ac:dyDescent="0.25">
      <c r="A321" s="74" t="s">
        <v>26</v>
      </c>
      <c r="B321" s="74" t="s">
        <v>610</v>
      </c>
      <c r="C321" s="75" t="s">
        <v>623</v>
      </c>
      <c r="D321" s="75"/>
      <c r="E321" s="75" t="s">
        <v>624</v>
      </c>
      <c r="F321" s="76"/>
      <c r="G321" s="76">
        <v>0</v>
      </c>
      <c r="H321" s="75"/>
      <c r="I321" s="75"/>
      <c r="J321" s="75"/>
      <c r="K321" s="75"/>
    </row>
    <row r="322" spans="1:11" ht="270" customHeight="1" x14ac:dyDescent="0.25">
      <c r="A322" s="74" t="s">
        <v>26</v>
      </c>
      <c r="B322" s="74" t="s">
        <v>625</v>
      </c>
      <c r="C322" s="75" t="s">
        <v>626</v>
      </c>
      <c r="D322" s="75"/>
      <c r="E322" s="75" t="s">
        <v>627</v>
      </c>
      <c r="F322" s="76"/>
      <c r="G322" s="76">
        <v>0</v>
      </c>
      <c r="H322" s="75" t="s">
        <v>628</v>
      </c>
      <c r="I322" s="75" t="s">
        <v>110</v>
      </c>
      <c r="J322" s="75">
        <v>2025</v>
      </c>
      <c r="K322" s="75"/>
    </row>
    <row r="323" spans="1:11" ht="270" customHeight="1" x14ac:dyDescent="0.25">
      <c r="A323" s="74" t="s">
        <v>26</v>
      </c>
      <c r="B323" s="74" t="s">
        <v>625</v>
      </c>
      <c r="C323" s="75" t="s">
        <v>623</v>
      </c>
      <c r="D323" s="75"/>
      <c r="E323" s="75" t="s">
        <v>624</v>
      </c>
      <c r="F323" s="76"/>
      <c r="G323" s="76">
        <v>0</v>
      </c>
      <c r="H323" s="75" t="s">
        <v>628</v>
      </c>
      <c r="I323" s="75" t="s">
        <v>110</v>
      </c>
      <c r="J323" s="75">
        <v>2025</v>
      </c>
      <c r="K323" s="75"/>
    </row>
    <row r="324" spans="1:11" ht="270" customHeight="1" x14ac:dyDescent="0.25">
      <c r="A324" s="74" t="s">
        <v>26</v>
      </c>
      <c r="B324" s="74" t="s">
        <v>629</v>
      </c>
      <c r="C324" s="75" t="s">
        <v>630</v>
      </c>
      <c r="D324" s="75"/>
      <c r="E324" s="75" t="s">
        <v>631</v>
      </c>
      <c r="F324" s="76"/>
      <c r="G324" s="76">
        <v>0</v>
      </c>
      <c r="H324" s="75" t="s">
        <v>632</v>
      </c>
      <c r="I324" s="75" t="s">
        <v>110</v>
      </c>
      <c r="J324" s="75">
        <v>2025</v>
      </c>
      <c r="K324" s="75"/>
    </row>
    <row r="325" spans="1:11" ht="270" customHeight="1" x14ac:dyDescent="0.25">
      <c r="A325" s="74" t="s">
        <v>26</v>
      </c>
      <c r="B325" s="74" t="s">
        <v>629</v>
      </c>
      <c r="C325" s="75" t="s">
        <v>633</v>
      </c>
      <c r="D325" s="75"/>
      <c r="E325" s="75" t="s">
        <v>634</v>
      </c>
      <c r="F325" s="76"/>
      <c r="G325" s="76">
        <v>0</v>
      </c>
      <c r="H325" s="75" t="s">
        <v>632</v>
      </c>
      <c r="I325" s="75" t="s">
        <v>110</v>
      </c>
      <c r="J325" s="75">
        <v>2025</v>
      </c>
      <c r="K325" s="75"/>
    </row>
    <row r="326" spans="1:11" ht="270" customHeight="1" x14ac:dyDescent="0.25">
      <c r="A326" s="74" t="s">
        <v>26</v>
      </c>
      <c r="B326" s="74" t="s">
        <v>629</v>
      </c>
      <c r="C326" s="75" t="s">
        <v>623</v>
      </c>
      <c r="D326" s="75"/>
      <c r="E326" s="75" t="s">
        <v>624</v>
      </c>
      <c r="F326" s="76"/>
      <c r="G326" s="76">
        <v>0</v>
      </c>
      <c r="H326" s="75" t="s">
        <v>632</v>
      </c>
      <c r="I326" s="75" t="s">
        <v>110</v>
      </c>
      <c r="J326" s="75">
        <v>2025</v>
      </c>
      <c r="K326" s="75"/>
    </row>
    <row r="327" spans="1:11" ht="270" customHeight="1" x14ac:dyDescent="0.25">
      <c r="A327" s="74" t="s">
        <v>26</v>
      </c>
      <c r="B327" s="74" t="s">
        <v>629</v>
      </c>
      <c r="C327" s="75" t="s">
        <v>263</v>
      </c>
      <c r="D327" s="75"/>
      <c r="E327" s="75" t="s">
        <v>264</v>
      </c>
      <c r="F327" s="76"/>
      <c r="G327" s="76">
        <v>0</v>
      </c>
      <c r="H327" s="75" t="s">
        <v>632</v>
      </c>
      <c r="I327" s="75" t="s">
        <v>110</v>
      </c>
      <c r="J327" s="75">
        <v>2025</v>
      </c>
      <c r="K327" s="75"/>
    </row>
    <row r="328" spans="1:11" ht="270" customHeight="1" x14ac:dyDescent="0.25">
      <c r="A328" s="74" t="s">
        <v>26</v>
      </c>
      <c r="B328" s="74" t="s">
        <v>629</v>
      </c>
      <c r="C328" s="75" t="s">
        <v>635</v>
      </c>
      <c r="D328" s="75"/>
      <c r="E328" s="75" t="s">
        <v>636</v>
      </c>
      <c r="F328" s="76"/>
      <c r="G328" s="76">
        <v>0</v>
      </c>
      <c r="H328" s="75" t="s">
        <v>632</v>
      </c>
      <c r="I328" s="75" t="s">
        <v>110</v>
      </c>
      <c r="J328" s="75">
        <v>2025</v>
      </c>
      <c r="K328" s="75"/>
    </row>
    <row r="329" spans="1:11" ht="270" customHeight="1" x14ac:dyDescent="0.25">
      <c r="A329" s="74" t="s">
        <v>26</v>
      </c>
      <c r="B329" s="74" t="s">
        <v>637</v>
      </c>
      <c r="C329" s="75" t="s">
        <v>638</v>
      </c>
      <c r="D329" s="75"/>
      <c r="E329" s="75" t="s">
        <v>639</v>
      </c>
      <c r="F329" s="76"/>
      <c r="G329" s="76">
        <v>0</v>
      </c>
      <c r="H329" s="75"/>
      <c r="I329" s="75"/>
      <c r="J329" s="75"/>
      <c r="K329" s="75"/>
    </row>
    <row r="330" spans="1:11" ht="270" customHeight="1" x14ac:dyDescent="0.25">
      <c r="A330" s="74" t="s">
        <v>26</v>
      </c>
      <c r="B330" s="74" t="s">
        <v>637</v>
      </c>
      <c r="C330" s="75" t="s">
        <v>640</v>
      </c>
      <c r="D330" s="75"/>
      <c r="E330" s="75" t="s">
        <v>641</v>
      </c>
      <c r="F330" s="76"/>
      <c r="G330" s="76">
        <v>0</v>
      </c>
      <c r="H330" s="75"/>
      <c r="I330" s="75"/>
      <c r="J330" s="75"/>
      <c r="K330" s="75"/>
    </row>
    <row r="331" spans="1:11" ht="270" customHeight="1" x14ac:dyDescent="0.25">
      <c r="A331" s="74" t="s">
        <v>26</v>
      </c>
      <c r="B331" s="74" t="s">
        <v>637</v>
      </c>
      <c r="C331" s="75" t="s">
        <v>642</v>
      </c>
      <c r="D331" s="75"/>
      <c r="E331" s="75" t="s">
        <v>643</v>
      </c>
      <c r="F331" s="76"/>
      <c r="G331" s="76">
        <v>0</v>
      </c>
      <c r="H331" s="75"/>
      <c r="I331" s="75"/>
      <c r="J331" s="75"/>
      <c r="K331" s="75"/>
    </row>
    <row r="332" spans="1:11" ht="270" customHeight="1" x14ac:dyDescent="0.25">
      <c r="A332" s="74" t="s">
        <v>26</v>
      </c>
      <c r="B332" s="74" t="s">
        <v>637</v>
      </c>
      <c r="C332" s="75" t="s">
        <v>644</v>
      </c>
      <c r="D332" s="75"/>
      <c r="E332" s="75" t="s">
        <v>645</v>
      </c>
      <c r="F332" s="76"/>
      <c r="G332" s="76">
        <v>0</v>
      </c>
      <c r="H332" s="75"/>
      <c r="I332" s="75"/>
      <c r="J332" s="75"/>
      <c r="K332" s="75"/>
    </row>
    <row r="333" spans="1:11" ht="270" customHeight="1" x14ac:dyDescent="0.25">
      <c r="A333" s="74" t="s">
        <v>26</v>
      </c>
      <c r="B333" s="74" t="s">
        <v>637</v>
      </c>
      <c r="C333" s="75" t="s">
        <v>646</v>
      </c>
      <c r="D333" s="75"/>
      <c r="E333" s="75" t="s">
        <v>647</v>
      </c>
      <c r="F333" s="76"/>
      <c r="G333" s="76">
        <v>0</v>
      </c>
      <c r="H333" s="75"/>
      <c r="I333" s="75"/>
      <c r="J333" s="75"/>
      <c r="K333" s="75"/>
    </row>
    <row r="334" spans="1:11" ht="270" customHeight="1" x14ac:dyDescent="0.25">
      <c r="A334" s="74" t="s">
        <v>26</v>
      </c>
      <c r="B334" s="74" t="s">
        <v>637</v>
      </c>
      <c r="C334" s="75" t="s">
        <v>648</v>
      </c>
      <c r="D334" s="75"/>
      <c r="E334" s="75" t="s">
        <v>649</v>
      </c>
      <c r="F334" s="76"/>
      <c r="G334" s="76">
        <v>0</v>
      </c>
      <c r="H334" s="75"/>
      <c r="I334" s="75"/>
      <c r="J334" s="75"/>
      <c r="K334" s="75"/>
    </row>
    <row r="335" spans="1:11" ht="270" customHeight="1" x14ac:dyDescent="0.25">
      <c r="A335" s="74" t="s">
        <v>26</v>
      </c>
      <c r="B335" s="74" t="s">
        <v>650</v>
      </c>
      <c r="C335" s="75" t="s">
        <v>651</v>
      </c>
      <c r="D335" s="75"/>
      <c r="E335" s="75" t="s">
        <v>652</v>
      </c>
      <c r="F335" s="76"/>
      <c r="G335" s="76">
        <v>0</v>
      </c>
      <c r="H335" s="75" t="s">
        <v>148</v>
      </c>
      <c r="I335" s="75" t="s">
        <v>110</v>
      </c>
      <c r="J335" s="75">
        <v>2025</v>
      </c>
      <c r="K335" s="75"/>
    </row>
    <row r="336" spans="1:11" ht="270" customHeight="1" x14ac:dyDescent="0.25">
      <c r="A336" s="74" t="s">
        <v>26</v>
      </c>
      <c r="B336" s="74" t="s">
        <v>650</v>
      </c>
      <c r="C336" s="75" t="s">
        <v>653</v>
      </c>
      <c r="D336" s="75"/>
      <c r="E336" s="75" t="s">
        <v>654</v>
      </c>
      <c r="F336" s="76"/>
      <c r="G336" s="76">
        <v>0</v>
      </c>
      <c r="H336" s="75" t="s">
        <v>148</v>
      </c>
      <c r="I336" s="75" t="s">
        <v>110</v>
      </c>
      <c r="J336" s="75">
        <v>2025</v>
      </c>
      <c r="K336" s="75"/>
    </row>
    <row r="337" spans="1:11" ht="270" customHeight="1" x14ac:dyDescent="0.25">
      <c r="A337" s="74" t="s">
        <v>26</v>
      </c>
      <c r="B337" s="74" t="s">
        <v>650</v>
      </c>
      <c r="C337" s="75" t="s">
        <v>949</v>
      </c>
      <c r="D337" s="75" t="s">
        <v>950</v>
      </c>
      <c r="E337" s="75" t="s">
        <v>951</v>
      </c>
      <c r="F337" s="76"/>
      <c r="G337" s="76">
        <v>0</v>
      </c>
      <c r="H337" s="75" t="s">
        <v>148</v>
      </c>
      <c r="I337" s="75" t="s">
        <v>110</v>
      </c>
      <c r="J337" s="75">
        <v>2025</v>
      </c>
      <c r="K337" s="75"/>
    </row>
    <row r="338" spans="1:11" ht="270" customHeight="1" x14ac:dyDescent="0.25">
      <c r="A338" s="74" t="s">
        <v>26</v>
      </c>
      <c r="B338" s="74" t="s">
        <v>655</v>
      </c>
      <c r="C338" s="75" t="s">
        <v>656</v>
      </c>
      <c r="D338" s="75"/>
      <c r="E338" s="75" t="s">
        <v>657</v>
      </c>
      <c r="F338" s="76"/>
      <c r="G338" s="76">
        <v>0</v>
      </c>
      <c r="H338" s="75" t="s">
        <v>148</v>
      </c>
      <c r="I338" s="75" t="s">
        <v>110</v>
      </c>
      <c r="J338" s="75">
        <v>2025</v>
      </c>
      <c r="K338" s="75"/>
    </row>
    <row r="339" spans="1:11" ht="270" customHeight="1" x14ac:dyDescent="0.25">
      <c r="A339" s="74" t="s">
        <v>26</v>
      </c>
      <c r="B339" s="74" t="s">
        <v>655</v>
      </c>
      <c r="C339" s="75" t="s">
        <v>658</v>
      </c>
      <c r="D339" s="75"/>
      <c r="E339" s="75" t="s">
        <v>659</v>
      </c>
      <c r="F339" s="76"/>
      <c r="G339" s="76">
        <v>0</v>
      </c>
      <c r="H339" s="75" t="s">
        <v>148</v>
      </c>
      <c r="I339" s="75" t="s">
        <v>110</v>
      </c>
      <c r="J339" s="75">
        <v>2025</v>
      </c>
      <c r="K339" s="75"/>
    </row>
    <row r="340" spans="1:11" ht="270" customHeight="1" x14ac:dyDescent="0.25">
      <c r="A340" s="74" t="s">
        <v>26</v>
      </c>
      <c r="B340" s="74" t="s">
        <v>655</v>
      </c>
      <c r="C340" s="75" t="s">
        <v>660</v>
      </c>
      <c r="D340" s="75"/>
      <c r="E340" s="75" t="s">
        <v>661</v>
      </c>
      <c r="F340" s="76"/>
      <c r="G340" s="76">
        <v>0</v>
      </c>
      <c r="H340" s="75" t="s">
        <v>148</v>
      </c>
      <c r="I340" s="75" t="s">
        <v>110</v>
      </c>
      <c r="J340" s="75">
        <v>2025</v>
      </c>
      <c r="K340" s="75"/>
    </row>
    <row r="341" spans="1:11" ht="270" customHeight="1" x14ac:dyDescent="0.25">
      <c r="A341" s="74" t="s">
        <v>26</v>
      </c>
      <c r="B341" s="74" t="s">
        <v>655</v>
      </c>
      <c r="C341" s="75" t="s">
        <v>662</v>
      </c>
      <c r="D341" s="75"/>
      <c r="E341" s="75" t="s">
        <v>663</v>
      </c>
      <c r="F341" s="76"/>
      <c r="G341" s="76">
        <v>0</v>
      </c>
      <c r="H341" s="75" t="s">
        <v>148</v>
      </c>
      <c r="I341" s="75" t="s">
        <v>110</v>
      </c>
      <c r="J341" s="75">
        <v>2025</v>
      </c>
      <c r="K341" s="75"/>
    </row>
    <row r="342" spans="1:11" ht="270" customHeight="1" x14ac:dyDescent="0.25">
      <c r="A342" s="74" t="s">
        <v>26</v>
      </c>
      <c r="B342" s="74" t="s">
        <v>655</v>
      </c>
      <c r="C342" s="75" t="s">
        <v>664</v>
      </c>
      <c r="D342" s="75"/>
      <c r="E342" s="75" t="s">
        <v>665</v>
      </c>
      <c r="F342" s="76"/>
      <c r="G342" s="76">
        <v>0</v>
      </c>
      <c r="H342" s="75" t="s">
        <v>148</v>
      </c>
      <c r="I342" s="75" t="s">
        <v>110</v>
      </c>
      <c r="J342" s="75">
        <v>2025</v>
      </c>
      <c r="K342" s="75"/>
    </row>
    <row r="343" spans="1:11" ht="270" customHeight="1" x14ac:dyDescent="0.25">
      <c r="A343" s="74" t="s">
        <v>26</v>
      </c>
      <c r="B343" s="74" t="s">
        <v>655</v>
      </c>
      <c r="C343" s="75" t="s">
        <v>263</v>
      </c>
      <c r="D343" s="75"/>
      <c r="E343" s="75" t="s">
        <v>264</v>
      </c>
      <c r="F343" s="76"/>
      <c r="G343" s="76">
        <v>0</v>
      </c>
      <c r="H343" s="75" t="s">
        <v>148</v>
      </c>
      <c r="I343" s="75" t="s">
        <v>110</v>
      </c>
      <c r="J343" s="75">
        <v>2025</v>
      </c>
      <c r="K343" s="75"/>
    </row>
    <row r="344" spans="1:11" ht="270" customHeight="1" x14ac:dyDescent="0.25">
      <c r="A344" s="74" t="s">
        <v>980</v>
      </c>
      <c r="B344" s="74" t="s">
        <v>666</v>
      </c>
      <c r="C344" s="75" t="s">
        <v>667</v>
      </c>
      <c r="D344" s="75"/>
      <c r="E344" s="75" t="s">
        <v>668</v>
      </c>
      <c r="F344" s="76">
        <v>3.1</v>
      </c>
      <c r="G344" s="76">
        <v>0</v>
      </c>
      <c r="H344" s="75" t="s">
        <v>669</v>
      </c>
      <c r="I344" s="75" t="s">
        <v>110</v>
      </c>
      <c r="J344" s="75">
        <v>2025</v>
      </c>
      <c r="K344" s="75"/>
    </row>
    <row r="345" spans="1:11" ht="270" customHeight="1" x14ac:dyDescent="0.25">
      <c r="A345" s="74" t="s">
        <v>980</v>
      </c>
      <c r="B345" s="74" t="s">
        <v>666</v>
      </c>
      <c r="C345" s="75" t="s">
        <v>670</v>
      </c>
      <c r="D345" s="75"/>
      <c r="E345" s="75" t="s">
        <v>671</v>
      </c>
      <c r="F345" s="76">
        <v>3.1</v>
      </c>
      <c r="G345" s="76">
        <v>0</v>
      </c>
      <c r="H345" s="75" t="s">
        <v>669</v>
      </c>
      <c r="I345" s="75" t="s">
        <v>110</v>
      </c>
      <c r="J345" s="75">
        <v>2025</v>
      </c>
      <c r="K345" s="75"/>
    </row>
    <row r="346" spans="1:11" ht="270" customHeight="1" x14ac:dyDescent="0.25">
      <c r="A346" s="74" t="s">
        <v>980</v>
      </c>
      <c r="B346" s="74" t="s">
        <v>666</v>
      </c>
      <c r="C346" s="75" t="s">
        <v>672</v>
      </c>
      <c r="D346" s="75"/>
      <c r="E346" s="75" t="s">
        <v>673</v>
      </c>
      <c r="F346" s="76">
        <v>3.1</v>
      </c>
      <c r="G346" s="76">
        <v>0</v>
      </c>
      <c r="H346" s="75" t="s">
        <v>669</v>
      </c>
      <c r="I346" s="75" t="s">
        <v>110</v>
      </c>
      <c r="J346" s="75">
        <v>2025</v>
      </c>
      <c r="K346" s="75"/>
    </row>
    <row r="347" spans="1:11" ht="270" customHeight="1" x14ac:dyDescent="0.25">
      <c r="A347" s="74" t="s">
        <v>980</v>
      </c>
      <c r="B347" s="74" t="s">
        <v>666</v>
      </c>
      <c r="C347" s="75" t="s">
        <v>674</v>
      </c>
      <c r="D347" s="75"/>
      <c r="E347" s="75" t="s">
        <v>675</v>
      </c>
      <c r="F347" s="76">
        <v>3.1</v>
      </c>
      <c r="G347" s="76">
        <v>0</v>
      </c>
      <c r="H347" s="75" t="s">
        <v>669</v>
      </c>
      <c r="I347" s="75" t="s">
        <v>110</v>
      </c>
      <c r="J347" s="75">
        <v>2025</v>
      </c>
      <c r="K347" s="75"/>
    </row>
    <row r="348" spans="1:11" ht="270" customHeight="1" x14ac:dyDescent="0.25">
      <c r="A348" s="74" t="s">
        <v>980</v>
      </c>
      <c r="B348" s="74" t="s">
        <v>666</v>
      </c>
      <c r="C348" s="75" t="s">
        <v>676</v>
      </c>
      <c r="D348" s="75"/>
      <c r="E348" s="75" t="s">
        <v>677</v>
      </c>
      <c r="F348" s="76">
        <v>3.1</v>
      </c>
      <c r="G348" s="76">
        <v>0</v>
      </c>
      <c r="H348" s="75" t="s">
        <v>669</v>
      </c>
      <c r="I348" s="75" t="s">
        <v>110</v>
      </c>
      <c r="J348" s="75">
        <v>2025</v>
      </c>
      <c r="K348" s="75"/>
    </row>
    <row r="349" spans="1:11" ht="270" customHeight="1" x14ac:dyDescent="0.25">
      <c r="A349" s="74" t="s">
        <v>980</v>
      </c>
      <c r="B349" s="74" t="s">
        <v>666</v>
      </c>
      <c r="C349" s="75" t="s">
        <v>678</v>
      </c>
      <c r="D349" s="75"/>
      <c r="E349" s="75" t="s">
        <v>679</v>
      </c>
      <c r="F349" s="76">
        <v>3.1</v>
      </c>
      <c r="G349" s="76">
        <v>0</v>
      </c>
      <c r="H349" s="75" t="s">
        <v>669</v>
      </c>
      <c r="I349" s="75" t="s">
        <v>110</v>
      </c>
      <c r="J349" s="75">
        <v>2025</v>
      </c>
      <c r="K349" s="75"/>
    </row>
    <row r="350" spans="1:11" ht="270" customHeight="1" x14ac:dyDescent="0.25">
      <c r="A350" s="74" t="s">
        <v>980</v>
      </c>
      <c r="B350" s="74" t="s">
        <v>666</v>
      </c>
      <c r="C350" s="75" t="s">
        <v>680</v>
      </c>
      <c r="D350" s="75"/>
      <c r="E350" s="75" t="s">
        <v>681</v>
      </c>
      <c r="F350" s="76">
        <v>3.1</v>
      </c>
      <c r="G350" s="76">
        <v>0</v>
      </c>
      <c r="H350" s="75" t="s">
        <v>669</v>
      </c>
      <c r="I350" s="75" t="s">
        <v>110</v>
      </c>
      <c r="J350" s="75">
        <v>2025</v>
      </c>
      <c r="K350" s="75"/>
    </row>
    <row r="351" spans="1:11" ht="270" customHeight="1" x14ac:dyDescent="0.25">
      <c r="A351" s="74" t="s">
        <v>980</v>
      </c>
      <c r="B351" s="74" t="s">
        <v>666</v>
      </c>
      <c r="C351" s="75" t="s">
        <v>682</v>
      </c>
      <c r="D351" s="75"/>
      <c r="E351" s="75" t="s">
        <v>683</v>
      </c>
      <c r="F351" s="76">
        <v>3.1</v>
      </c>
      <c r="G351" s="76">
        <v>0</v>
      </c>
      <c r="H351" s="75" t="s">
        <v>669</v>
      </c>
      <c r="I351" s="75" t="s">
        <v>110</v>
      </c>
      <c r="J351" s="75">
        <v>2025</v>
      </c>
      <c r="K351" s="75"/>
    </row>
    <row r="352" spans="1:11" ht="270" customHeight="1" x14ac:dyDescent="0.25">
      <c r="A352" s="74" t="s">
        <v>980</v>
      </c>
      <c r="B352" s="74" t="s">
        <v>666</v>
      </c>
      <c r="C352" s="75" t="s">
        <v>684</v>
      </c>
      <c r="D352" s="75"/>
      <c r="E352" s="75" t="s">
        <v>609</v>
      </c>
      <c r="F352" s="76">
        <v>3.1</v>
      </c>
      <c r="G352" s="76">
        <v>0</v>
      </c>
      <c r="H352" s="75" t="s">
        <v>669</v>
      </c>
      <c r="I352" s="75" t="s">
        <v>110</v>
      </c>
      <c r="J352" s="75">
        <v>2025</v>
      </c>
      <c r="K352" s="75"/>
    </row>
    <row r="353" spans="1:11" ht="270" customHeight="1" x14ac:dyDescent="0.25">
      <c r="A353" s="74" t="s">
        <v>980</v>
      </c>
      <c r="B353" s="74" t="s">
        <v>666</v>
      </c>
      <c r="C353" s="75" t="s">
        <v>685</v>
      </c>
      <c r="D353" s="75"/>
      <c r="E353" s="75" t="s">
        <v>686</v>
      </c>
      <c r="F353" s="76">
        <v>3.1</v>
      </c>
      <c r="G353" s="76">
        <v>0</v>
      </c>
      <c r="H353" s="75" t="s">
        <v>669</v>
      </c>
      <c r="I353" s="75" t="s">
        <v>110</v>
      </c>
      <c r="J353" s="75">
        <v>2025</v>
      </c>
      <c r="K353" s="75"/>
    </row>
    <row r="354" spans="1:11" ht="270" customHeight="1" x14ac:dyDescent="0.25">
      <c r="A354" s="74" t="s">
        <v>980</v>
      </c>
      <c r="B354" s="74" t="s">
        <v>666</v>
      </c>
      <c r="C354" s="75" t="s">
        <v>949</v>
      </c>
      <c r="D354" s="75" t="s">
        <v>950</v>
      </c>
      <c r="E354" s="75" t="s">
        <v>951</v>
      </c>
      <c r="F354" s="76">
        <v>3.1</v>
      </c>
      <c r="G354" s="76">
        <v>0</v>
      </c>
      <c r="H354" s="75" t="s">
        <v>669</v>
      </c>
      <c r="I354" s="75" t="s">
        <v>110</v>
      </c>
      <c r="J354" s="75">
        <v>2025</v>
      </c>
      <c r="K354" s="75"/>
    </row>
    <row r="355" spans="1:11" ht="270" customHeight="1" x14ac:dyDescent="0.25">
      <c r="A355" s="74" t="s">
        <v>980</v>
      </c>
      <c r="B355" s="74" t="s">
        <v>666</v>
      </c>
      <c r="C355" s="75" t="s">
        <v>687</v>
      </c>
      <c r="D355" s="75"/>
      <c r="E355" s="75" t="s">
        <v>688</v>
      </c>
      <c r="F355" s="76">
        <v>3.1</v>
      </c>
      <c r="G355" s="76">
        <v>0</v>
      </c>
      <c r="H355" s="75" t="s">
        <v>669</v>
      </c>
      <c r="I355" s="75" t="s">
        <v>110</v>
      </c>
      <c r="J355" s="75">
        <v>2025</v>
      </c>
      <c r="K355" s="75"/>
    </row>
    <row r="356" spans="1:11" ht="270" customHeight="1" x14ac:dyDescent="0.25">
      <c r="A356" s="74" t="s">
        <v>980</v>
      </c>
      <c r="B356" s="74" t="s">
        <v>666</v>
      </c>
      <c r="C356" s="75" t="s">
        <v>689</v>
      </c>
      <c r="D356" s="75"/>
      <c r="E356" s="75" t="s">
        <v>690</v>
      </c>
      <c r="F356" s="76">
        <v>3.1</v>
      </c>
      <c r="G356" s="76">
        <v>0</v>
      </c>
      <c r="H356" s="75" t="s">
        <v>669</v>
      </c>
      <c r="I356" s="75" t="s">
        <v>110</v>
      </c>
      <c r="J356" s="75">
        <v>2025</v>
      </c>
      <c r="K356" s="75"/>
    </row>
    <row r="357" spans="1:11" ht="270" customHeight="1" x14ac:dyDescent="0.25">
      <c r="A357" s="74" t="s">
        <v>980</v>
      </c>
      <c r="B357" s="74" t="s">
        <v>666</v>
      </c>
      <c r="C357" s="75" t="s">
        <v>691</v>
      </c>
      <c r="D357" s="75"/>
      <c r="E357" s="75" t="s">
        <v>692</v>
      </c>
      <c r="F357" s="76">
        <v>3.1</v>
      </c>
      <c r="G357" s="76">
        <v>0</v>
      </c>
      <c r="H357" s="75" t="s">
        <v>669</v>
      </c>
      <c r="I357" s="75" t="s">
        <v>110</v>
      </c>
      <c r="J357" s="75">
        <v>2025</v>
      </c>
      <c r="K357" s="75"/>
    </row>
    <row r="358" spans="1:11" ht="270" customHeight="1" x14ac:dyDescent="0.25">
      <c r="A358" s="74" t="s">
        <v>980</v>
      </c>
      <c r="B358" s="74" t="s">
        <v>666</v>
      </c>
      <c r="C358" s="75" t="s">
        <v>693</v>
      </c>
      <c r="D358" s="75"/>
      <c r="E358" s="75" t="s">
        <v>694</v>
      </c>
      <c r="F358" s="76">
        <v>3.1</v>
      </c>
      <c r="G358" s="76">
        <v>0</v>
      </c>
      <c r="H358" s="75" t="s">
        <v>669</v>
      </c>
      <c r="I358" s="75" t="s">
        <v>110</v>
      </c>
      <c r="J358" s="75">
        <v>2025</v>
      </c>
      <c r="K358" s="75"/>
    </row>
    <row r="359" spans="1:11" ht="270" customHeight="1" x14ac:dyDescent="0.25">
      <c r="A359" s="74" t="s">
        <v>980</v>
      </c>
      <c r="B359" s="74" t="s">
        <v>666</v>
      </c>
      <c r="C359" s="75" t="s">
        <v>695</v>
      </c>
      <c r="D359" s="75"/>
      <c r="E359" s="75" t="s">
        <v>696</v>
      </c>
      <c r="F359" s="76">
        <v>3.1</v>
      </c>
      <c r="G359" s="76">
        <v>0</v>
      </c>
      <c r="H359" s="75" t="s">
        <v>669</v>
      </c>
      <c r="I359" s="75" t="s">
        <v>110</v>
      </c>
      <c r="J359" s="75">
        <v>2025</v>
      </c>
      <c r="K359" s="75"/>
    </row>
    <row r="360" spans="1:11" ht="270" customHeight="1" x14ac:dyDescent="0.25">
      <c r="A360" s="74" t="s">
        <v>980</v>
      </c>
      <c r="B360" s="74" t="s">
        <v>666</v>
      </c>
      <c r="C360" s="75" t="s">
        <v>697</v>
      </c>
      <c r="D360" s="75"/>
      <c r="E360" s="75" t="s">
        <v>698</v>
      </c>
      <c r="F360" s="76">
        <v>3.1</v>
      </c>
      <c r="G360" s="76">
        <v>0</v>
      </c>
      <c r="H360" s="75" t="s">
        <v>669</v>
      </c>
      <c r="I360" s="75" t="s">
        <v>110</v>
      </c>
      <c r="J360" s="75">
        <v>2025</v>
      </c>
      <c r="K360" s="75"/>
    </row>
    <row r="361" spans="1:11" ht="270" customHeight="1" x14ac:dyDescent="0.25">
      <c r="A361" s="74" t="s">
        <v>980</v>
      </c>
      <c r="B361" s="74" t="s">
        <v>666</v>
      </c>
      <c r="C361" s="75" t="s">
        <v>699</v>
      </c>
      <c r="D361" s="75"/>
      <c r="E361" s="75" t="s">
        <v>700</v>
      </c>
      <c r="F361" s="76">
        <v>3.1</v>
      </c>
      <c r="G361" s="76">
        <v>0</v>
      </c>
      <c r="H361" s="75" t="s">
        <v>669</v>
      </c>
      <c r="I361" s="75" t="s">
        <v>110</v>
      </c>
      <c r="J361" s="75">
        <v>2025</v>
      </c>
      <c r="K361" s="75"/>
    </row>
    <row r="362" spans="1:11" ht="270" customHeight="1" x14ac:dyDescent="0.25">
      <c r="A362" s="74" t="s">
        <v>980</v>
      </c>
      <c r="B362" s="74" t="s">
        <v>666</v>
      </c>
      <c r="C362" s="75" t="s">
        <v>701</v>
      </c>
      <c r="D362" s="75"/>
      <c r="E362" s="75" t="s">
        <v>702</v>
      </c>
      <c r="F362" s="76">
        <v>3.1</v>
      </c>
      <c r="G362" s="76">
        <v>0</v>
      </c>
      <c r="H362" s="75" t="s">
        <v>669</v>
      </c>
      <c r="I362" s="75" t="s">
        <v>110</v>
      </c>
      <c r="J362" s="75">
        <v>2025</v>
      </c>
      <c r="K362" s="75"/>
    </row>
    <row r="363" spans="1:11" ht="270" customHeight="1" x14ac:dyDescent="0.25">
      <c r="A363" s="74" t="s">
        <v>980</v>
      </c>
      <c r="B363" s="74" t="s">
        <v>666</v>
      </c>
      <c r="C363" s="75" t="s">
        <v>703</v>
      </c>
      <c r="D363" s="75"/>
      <c r="E363" s="75" t="s">
        <v>704</v>
      </c>
      <c r="F363" s="76">
        <v>3.1</v>
      </c>
      <c r="G363" s="76">
        <v>0</v>
      </c>
      <c r="H363" s="75" t="s">
        <v>669</v>
      </c>
      <c r="I363" s="75" t="s">
        <v>110</v>
      </c>
      <c r="J363" s="75">
        <v>2025</v>
      </c>
      <c r="K363" s="75"/>
    </row>
    <row r="364" spans="1:11" ht="270" customHeight="1" x14ac:dyDescent="0.25">
      <c r="A364" s="74" t="s">
        <v>980</v>
      </c>
      <c r="B364" s="74" t="s">
        <v>666</v>
      </c>
      <c r="C364" s="75" t="s">
        <v>705</v>
      </c>
      <c r="D364" s="75"/>
      <c r="E364" s="75" t="s">
        <v>706</v>
      </c>
      <c r="F364" s="76">
        <v>3.1</v>
      </c>
      <c r="G364" s="76">
        <v>0</v>
      </c>
      <c r="H364" s="75" t="s">
        <v>669</v>
      </c>
      <c r="I364" s="75" t="s">
        <v>110</v>
      </c>
      <c r="J364" s="75">
        <v>2025</v>
      </c>
      <c r="K364" s="75"/>
    </row>
    <row r="365" spans="1:11" ht="270" customHeight="1" x14ac:dyDescent="0.25">
      <c r="A365" s="74" t="s">
        <v>980</v>
      </c>
      <c r="B365" s="74" t="s">
        <v>666</v>
      </c>
      <c r="C365" s="75" t="s">
        <v>707</v>
      </c>
      <c r="D365" s="75"/>
      <c r="E365" s="75" t="s">
        <v>708</v>
      </c>
      <c r="F365" s="76">
        <v>3.1</v>
      </c>
      <c r="G365" s="76">
        <v>0</v>
      </c>
      <c r="H365" s="75" t="s">
        <v>669</v>
      </c>
      <c r="I365" s="75" t="s">
        <v>110</v>
      </c>
      <c r="J365" s="75">
        <v>2025</v>
      </c>
      <c r="K365" s="75"/>
    </row>
    <row r="366" spans="1:11" ht="270" customHeight="1" x14ac:dyDescent="0.25">
      <c r="A366" s="74" t="s">
        <v>980</v>
      </c>
      <c r="B366" s="74" t="s">
        <v>666</v>
      </c>
      <c r="C366" s="75" t="s">
        <v>709</v>
      </c>
      <c r="D366" s="75"/>
      <c r="E366" s="75" t="s">
        <v>710</v>
      </c>
      <c r="F366" s="76">
        <v>3.1</v>
      </c>
      <c r="G366" s="76">
        <v>0</v>
      </c>
      <c r="H366" s="75" t="s">
        <v>669</v>
      </c>
      <c r="I366" s="75" t="s">
        <v>110</v>
      </c>
      <c r="J366" s="75">
        <v>2025</v>
      </c>
      <c r="K366" s="75"/>
    </row>
    <row r="367" spans="1:11" ht="270" customHeight="1" x14ac:dyDescent="0.25">
      <c r="A367" s="74" t="s">
        <v>980</v>
      </c>
      <c r="B367" s="74" t="s">
        <v>666</v>
      </c>
      <c r="C367" s="75" t="s">
        <v>711</v>
      </c>
      <c r="D367" s="75"/>
      <c r="E367" s="75" t="s">
        <v>712</v>
      </c>
      <c r="F367" s="76">
        <v>3.1</v>
      </c>
      <c r="G367" s="76">
        <v>0</v>
      </c>
      <c r="H367" s="75" t="s">
        <v>669</v>
      </c>
      <c r="I367" s="75" t="s">
        <v>110</v>
      </c>
      <c r="J367" s="75">
        <v>2025</v>
      </c>
      <c r="K367" s="75"/>
    </row>
    <row r="368" spans="1:11" ht="270" customHeight="1" x14ac:dyDescent="0.25">
      <c r="A368" s="74" t="s">
        <v>980</v>
      </c>
      <c r="B368" s="74" t="s">
        <v>666</v>
      </c>
      <c r="C368" s="75" t="s">
        <v>713</v>
      </c>
      <c r="D368" s="75"/>
      <c r="E368" s="75" t="s">
        <v>714</v>
      </c>
      <c r="F368" s="76">
        <v>3.1</v>
      </c>
      <c r="G368" s="76">
        <v>0</v>
      </c>
      <c r="H368" s="75" t="s">
        <v>669</v>
      </c>
      <c r="I368" s="75" t="s">
        <v>110</v>
      </c>
      <c r="J368" s="75">
        <v>2025</v>
      </c>
      <c r="K368" s="75"/>
    </row>
    <row r="369" spans="1:11" ht="270" customHeight="1" x14ac:dyDescent="0.25">
      <c r="A369" s="74" t="s">
        <v>980</v>
      </c>
      <c r="B369" s="74" t="s">
        <v>666</v>
      </c>
      <c r="C369" s="75" t="s">
        <v>715</v>
      </c>
      <c r="D369" s="75"/>
      <c r="E369" s="75" t="s">
        <v>716</v>
      </c>
      <c r="F369" s="76">
        <v>0</v>
      </c>
      <c r="G369" s="76">
        <v>0</v>
      </c>
      <c r="H369" s="75"/>
      <c r="I369" s="75" t="s">
        <v>110</v>
      </c>
      <c r="J369" s="75">
        <v>2025</v>
      </c>
      <c r="K369" s="75"/>
    </row>
    <row r="370" spans="1:11" ht="270" customHeight="1" x14ac:dyDescent="0.25">
      <c r="A370" s="74" t="s">
        <v>980</v>
      </c>
      <c r="B370" s="74" t="s">
        <v>666</v>
      </c>
      <c r="C370" s="75" t="s">
        <v>717</v>
      </c>
      <c r="D370" s="75"/>
      <c r="E370" s="75" t="s">
        <v>718</v>
      </c>
      <c r="F370" s="76">
        <v>0</v>
      </c>
      <c r="G370" s="76">
        <v>0</v>
      </c>
      <c r="H370" s="75"/>
      <c r="I370" s="75" t="s">
        <v>110</v>
      </c>
      <c r="J370" s="75">
        <v>2025</v>
      </c>
      <c r="K370" s="75"/>
    </row>
    <row r="371" spans="1:11" ht="270" customHeight="1" x14ac:dyDescent="0.25">
      <c r="A371" s="74" t="s">
        <v>980</v>
      </c>
      <c r="B371" s="74" t="s">
        <v>666</v>
      </c>
      <c r="C371" s="75" t="s">
        <v>719</v>
      </c>
      <c r="D371" s="75"/>
      <c r="E371" s="75" t="s">
        <v>720</v>
      </c>
      <c r="F371" s="76">
        <v>0</v>
      </c>
      <c r="G371" s="76">
        <v>0</v>
      </c>
      <c r="H371" s="75"/>
      <c r="I371" s="75" t="s">
        <v>110</v>
      </c>
      <c r="J371" s="75">
        <v>2025</v>
      </c>
      <c r="K371" s="75"/>
    </row>
    <row r="372" spans="1:11" ht="270" customHeight="1" x14ac:dyDescent="0.25">
      <c r="A372" s="74" t="s">
        <v>980</v>
      </c>
      <c r="B372" s="74" t="s">
        <v>666</v>
      </c>
      <c r="C372" s="75" t="s">
        <v>721</v>
      </c>
      <c r="D372" s="75"/>
      <c r="E372" s="75" t="s">
        <v>722</v>
      </c>
      <c r="F372" s="76">
        <v>0</v>
      </c>
      <c r="G372" s="76">
        <v>0</v>
      </c>
      <c r="H372" s="75"/>
      <c r="I372" s="75" t="s">
        <v>110</v>
      </c>
      <c r="J372" s="75">
        <v>2025</v>
      </c>
      <c r="K372" s="75"/>
    </row>
    <row r="373" spans="1:11" ht="270" customHeight="1" x14ac:dyDescent="0.25">
      <c r="A373" s="74" t="s">
        <v>981</v>
      </c>
      <c r="B373" s="74" t="s">
        <v>723</v>
      </c>
      <c r="C373" s="75" t="s">
        <v>724</v>
      </c>
      <c r="D373" s="75"/>
      <c r="E373" s="75" t="s">
        <v>725</v>
      </c>
      <c r="F373" s="76">
        <v>0</v>
      </c>
      <c r="G373" s="76">
        <v>0</v>
      </c>
      <c r="H373" s="75" t="s">
        <v>143</v>
      </c>
      <c r="I373" s="75" t="s">
        <v>110</v>
      </c>
      <c r="J373" s="75">
        <v>2025</v>
      </c>
      <c r="K373" s="75"/>
    </row>
    <row r="374" spans="1:11" ht="270" customHeight="1" x14ac:dyDescent="0.25">
      <c r="A374" s="74" t="s">
        <v>981</v>
      </c>
      <c r="B374" s="74" t="s">
        <v>723</v>
      </c>
      <c r="C374" s="75" t="s">
        <v>726</v>
      </c>
      <c r="D374" s="75"/>
      <c r="E374" s="75" t="s">
        <v>727</v>
      </c>
      <c r="F374" s="76">
        <v>0</v>
      </c>
      <c r="G374" s="76">
        <v>0</v>
      </c>
      <c r="H374" s="75" t="s">
        <v>143</v>
      </c>
      <c r="I374" s="75" t="s">
        <v>110</v>
      </c>
      <c r="J374" s="75">
        <v>2025</v>
      </c>
      <c r="K374" s="75"/>
    </row>
    <row r="375" spans="1:11" ht="270" customHeight="1" x14ac:dyDescent="0.25">
      <c r="A375" s="74" t="s">
        <v>981</v>
      </c>
      <c r="B375" s="74" t="s">
        <v>723</v>
      </c>
      <c r="C375" s="75" t="s">
        <v>728</v>
      </c>
      <c r="D375" s="75"/>
      <c r="E375" s="75" t="s">
        <v>729</v>
      </c>
      <c r="F375" s="76">
        <v>0</v>
      </c>
      <c r="G375" s="76">
        <v>0</v>
      </c>
      <c r="H375" s="75" t="s">
        <v>143</v>
      </c>
      <c r="I375" s="75" t="s">
        <v>110</v>
      </c>
      <c r="J375" s="75">
        <v>2025</v>
      </c>
      <c r="K375" s="75"/>
    </row>
    <row r="376" spans="1:11" ht="270" customHeight="1" x14ac:dyDescent="0.25">
      <c r="A376" s="74" t="s">
        <v>981</v>
      </c>
      <c r="B376" s="74" t="s">
        <v>723</v>
      </c>
      <c r="C376" s="75" t="s">
        <v>730</v>
      </c>
      <c r="D376" s="75"/>
      <c r="E376" s="75" t="s">
        <v>731</v>
      </c>
      <c r="F376" s="76">
        <v>0</v>
      </c>
      <c r="G376" s="76">
        <v>0</v>
      </c>
      <c r="H376" s="75" t="s">
        <v>143</v>
      </c>
      <c r="I376" s="75" t="s">
        <v>110</v>
      </c>
      <c r="J376" s="75">
        <v>2025</v>
      </c>
      <c r="K376" s="75"/>
    </row>
    <row r="377" spans="1:11" ht="270" customHeight="1" x14ac:dyDescent="0.25">
      <c r="A377" s="74" t="s">
        <v>981</v>
      </c>
      <c r="B377" s="74" t="s">
        <v>723</v>
      </c>
      <c r="C377" s="75" t="s">
        <v>732</v>
      </c>
      <c r="D377" s="75"/>
      <c r="E377" s="75" t="s">
        <v>733</v>
      </c>
      <c r="F377" s="76">
        <v>0</v>
      </c>
      <c r="G377" s="76">
        <v>0</v>
      </c>
      <c r="H377" s="75" t="s">
        <v>143</v>
      </c>
      <c r="I377" s="75" t="s">
        <v>110</v>
      </c>
      <c r="J377" s="75">
        <v>2025</v>
      </c>
      <c r="K377" s="75"/>
    </row>
    <row r="378" spans="1:11" ht="270" customHeight="1" x14ac:dyDescent="0.25">
      <c r="A378" s="74" t="s">
        <v>981</v>
      </c>
      <c r="B378" s="74" t="s">
        <v>723</v>
      </c>
      <c r="C378" s="75" t="s">
        <v>734</v>
      </c>
      <c r="D378" s="75"/>
      <c r="E378" s="75" t="s">
        <v>735</v>
      </c>
      <c r="F378" s="76">
        <v>0</v>
      </c>
      <c r="G378" s="76">
        <v>0</v>
      </c>
      <c r="H378" s="75" t="s">
        <v>736</v>
      </c>
      <c r="I378" s="75" t="s">
        <v>110</v>
      </c>
      <c r="J378" s="75">
        <v>2025</v>
      </c>
      <c r="K378" s="75"/>
    </row>
    <row r="379" spans="1:11" ht="270" customHeight="1" x14ac:dyDescent="0.25">
      <c r="A379" s="74" t="s">
        <v>981</v>
      </c>
      <c r="B379" s="74" t="s">
        <v>723</v>
      </c>
      <c r="C379" s="75" t="s">
        <v>684</v>
      </c>
      <c r="D379" s="75"/>
      <c r="E379" s="75" t="s">
        <v>609</v>
      </c>
      <c r="F379" s="76">
        <v>0</v>
      </c>
      <c r="G379" s="76">
        <v>0</v>
      </c>
      <c r="H379" s="75" t="s">
        <v>736</v>
      </c>
      <c r="I379" s="75" t="s">
        <v>110</v>
      </c>
      <c r="J379" s="75">
        <v>2025</v>
      </c>
      <c r="K379" s="75"/>
    </row>
    <row r="380" spans="1:11" ht="270" customHeight="1" x14ac:dyDescent="0.25">
      <c r="A380" s="74" t="s">
        <v>981</v>
      </c>
      <c r="B380" s="74" t="s">
        <v>723</v>
      </c>
      <c r="C380" s="75" t="s">
        <v>958</v>
      </c>
      <c r="D380" s="75" t="s">
        <v>959</v>
      </c>
      <c r="E380" s="75" t="s">
        <v>960</v>
      </c>
      <c r="F380" s="76">
        <v>0</v>
      </c>
      <c r="G380" s="76">
        <v>0</v>
      </c>
      <c r="H380" s="75" t="s">
        <v>737</v>
      </c>
      <c r="I380" s="75" t="s">
        <v>110</v>
      </c>
      <c r="J380" s="75">
        <v>2025</v>
      </c>
      <c r="K380" s="75"/>
    </row>
    <row r="381" spans="1:11" ht="270" customHeight="1" x14ac:dyDescent="0.25">
      <c r="A381" s="74" t="s">
        <v>981</v>
      </c>
      <c r="B381" s="74" t="s">
        <v>723</v>
      </c>
      <c r="C381" s="75" t="s">
        <v>949</v>
      </c>
      <c r="D381" s="75" t="s">
        <v>950</v>
      </c>
      <c r="E381" s="75" t="s">
        <v>951</v>
      </c>
      <c r="F381" s="76">
        <v>0</v>
      </c>
      <c r="G381" s="76">
        <v>0</v>
      </c>
      <c r="H381" s="75" t="s">
        <v>737</v>
      </c>
      <c r="I381" s="75" t="s">
        <v>110</v>
      </c>
      <c r="J381" s="75">
        <v>2025</v>
      </c>
      <c r="K381" s="75"/>
    </row>
    <row r="382" spans="1:11" ht="270" customHeight="1" x14ac:dyDescent="0.25">
      <c r="A382" s="74" t="s">
        <v>981</v>
      </c>
      <c r="B382" s="74" t="s">
        <v>723</v>
      </c>
      <c r="C382" s="75" t="s">
        <v>949</v>
      </c>
      <c r="D382" s="75" t="s">
        <v>950</v>
      </c>
      <c r="E382" s="75" t="s">
        <v>951</v>
      </c>
      <c r="F382" s="76">
        <v>0</v>
      </c>
      <c r="G382" s="76">
        <v>0</v>
      </c>
      <c r="H382" s="75" t="s">
        <v>737</v>
      </c>
      <c r="I382" s="75" t="s">
        <v>110</v>
      </c>
      <c r="J382" s="75">
        <v>2025</v>
      </c>
      <c r="K382" s="75"/>
    </row>
    <row r="383" spans="1:11" ht="270" customHeight="1" x14ac:dyDescent="0.25">
      <c r="A383" s="74" t="s">
        <v>981</v>
      </c>
      <c r="B383" s="74" t="s">
        <v>723</v>
      </c>
      <c r="C383" s="75" t="s">
        <v>949</v>
      </c>
      <c r="D383" s="75" t="s">
        <v>950</v>
      </c>
      <c r="E383" s="75" t="s">
        <v>951</v>
      </c>
      <c r="F383" s="76">
        <v>0</v>
      </c>
      <c r="G383" s="76">
        <v>0</v>
      </c>
      <c r="H383" s="75" t="s">
        <v>737</v>
      </c>
      <c r="I383" s="75" t="s">
        <v>110</v>
      </c>
      <c r="J383" s="75">
        <v>2025</v>
      </c>
      <c r="K383" s="75"/>
    </row>
    <row r="384" spans="1:11" ht="270" customHeight="1" x14ac:dyDescent="0.25">
      <c r="A384" s="74" t="s">
        <v>981</v>
      </c>
      <c r="B384" s="74" t="s">
        <v>723</v>
      </c>
      <c r="C384" s="75" t="s">
        <v>738</v>
      </c>
      <c r="D384" s="75"/>
      <c r="E384" s="75" t="s">
        <v>739</v>
      </c>
      <c r="F384" s="76">
        <v>0</v>
      </c>
      <c r="G384" s="76">
        <v>0</v>
      </c>
      <c r="H384" s="75" t="s">
        <v>736</v>
      </c>
      <c r="I384" s="75" t="s">
        <v>110</v>
      </c>
      <c r="J384" s="75">
        <v>2025</v>
      </c>
      <c r="K384" s="75"/>
    </row>
    <row r="385" spans="1:11" ht="270" customHeight="1" x14ac:dyDescent="0.25">
      <c r="A385" s="74" t="s">
        <v>981</v>
      </c>
      <c r="B385" s="74" t="s">
        <v>723</v>
      </c>
      <c r="C385" s="75" t="s">
        <v>740</v>
      </c>
      <c r="D385" s="75"/>
      <c r="E385" s="75" t="s">
        <v>741</v>
      </c>
      <c r="F385" s="76">
        <v>0</v>
      </c>
      <c r="G385" s="76">
        <v>0</v>
      </c>
      <c r="H385" s="75" t="s">
        <v>143</v>
      </c>
      <c r="I385" s="75" t="s">
        <v>110</v>
      </c>
      <c r="J385" s="75">
        <v>2025</v>
      </c>
      <c r="K385" s="75"/>
    </row>
    <row r="386" spans="1:11" ht="270" customHeight="1" x14ac:dyDescent="0.25">
      <c r="A386" s="74" t="s">
        <v>981</v>
      </c>
      <c r="B386" s="74" t="s">
        <v>723</v>
      </c>
      <c r="C386" s="75" t="s">
        <v>263</v>
      </c>
      <c r="D386" s="75"/>
      <c r="E386" s="75" t="s">
        <v>264</v>
      </c>
      <c r="F386" s="76">
        <v>0</v>
      </c>
      <c r="G386" s="76">
        <v>0</v>
      </c>
      <c r="H386" s="75" t="s">
        <v>143</v>
      </c>
      <c r="I386" s="75" t="s">
        <v>110</v>
      </c>
      <c r="J386" s="75">
        <v>2025</v>
      </c>
      <c r="K386" s="75"/>
    </row>
    <row r="387" spans="1:11" ht="270" customHeight="1" x14ac:dyDescent="0.25">
      <c r="A387" s="74" t="s">
        <v>981</v>
      </c>
      <c r="B387" s="74" t="s">
        <v>723</v>
      </c>
      <c r="C387" s="75" t="s">
        <v>263</v>
      </c>
      <c r="D387" s="75"/>
      <c r="E387" s="75" t="s">
        <v>264</v>
      </c>
      <c r="F387" s="76">
        <v>0</v>
      </c>
      <c r="G387" s="76">
        <v>0</v>
      </c>
      <c r="H387" s="75" t="s">
        <v>143</v>
      </c>
      <c r="I387" s="75" t="s">
        <v>110</v>
      </c>
      <c r="J387" s="75">
        <v>2025</v>
      </c>
      <c r="K387" s="75"/>
    </row>
    <row r="388" spans="1:11" ht="270" customHeight="1" x14ac:dyDescent="0.25">
      <c r="A388" s="74" t="s">
        <v>981</v>
      </c>
      <c r="B388" s="74" t="s">
        <v>723</v>
      </c>
      <c r="C388" s="75" t="s">
        <v>742</v>
      </c>
      <c r="D388" s="75"/>
      <c r="E388" s="75" t="s">
        <v>743</v>
      </c>
      <c r="F388" s="76">
        <v>0</v>
      </c>
      <c r="G388" s="76">
        <v>0</v>
      </c>
      <c r="H388" s="75" t="s">
        <v>143</v>
      </c>
      <c r="I388" s="75" t="s">
        <v>110</v>
      </c>
      <c r="J388" s="75">
        <v>2025</v>
      </c>
      <c r="K388" s="75"/>
    </row>
    <row r="389" spans="1:11" ht="270" customHeight="1" x14ac:dyDescent="0.25">
      <c r="A389" s="74" t="s">
        <v>981</v>
      </c>
      <c r="B389" s="74" t="s">
        <v>744</v>
      </c>
      <c r="C389" s="75" t="s">
        <v>745</v>
      </c>
      <c r="D389" s="75"/>
      <c r="E389" s="75" t="s">
        <v>746</v>
      </c>
      <c r="F389" s="76">
        <v>0</v>
      </c>
      <c r="G389" s="76">
        <v>0</v>
      </c>
      <c r="H389" s="75" t="s">
        <v>143</v>
      </c>
      <c r="I389" s="75" t="s">
        <v>110</v>
      </c>
      <c r="J389" s="75">
        <v>2025</v>
      </c>
      <c r="K389" s="75"/>
    </row>
    <row r="390" spans="1:11" ht="270" customHeight="1" x14ac:dyDescent="0.25">
      <c r="A390" s="74" t="s">
        <v>981</v>
      </c>
      <c r="B390" s="74" t="s">
        <v>744</v>
      </c>
      <c r="C390" s="75" t="s">
        <v>747</v>
      </c>
      <c r="D390" s="75"/>
      <c r="E390" s="75" t="s">
        <v>748</v>
      </c>
      <c r="F390" s="76">
        <v>0</v>
      </c>
      <c r="G390" s="76">
        <v>0</v>
      </c>
      <c r="H390" s="75" t="s">
        <v>143</v>
      </c>
      <c r="I390" s="75" t="s">
        <v>110</v>
      </c>
      <c r="J390" s="75">
        <v>2025</v>
      </c>
      <c r="K390" s="75"/>
    </row>
    <row r="391" spans="1:11" ht="270" customHeight="1" x14ac:dyDescent="0.25">
      <c r="A391" s="74" t="s">
        <v>981</v>
      </c>
      <c r="B391" s="74" t="s">
        <v>744</v>
      </c>
      <c r="C391" s="75" t="s">
        <v>684</v>
      </c>
      <c r="D391" s="75"/>
      <c r="E391" s="75" t="s">
        <v>609</v>
      </c>
      <c r="F391" s="76">
        <v>0</v>
      </c>
      <c r="G391" s="76">
        <v>0</v>
      </c>
      <c r="H391" s="75" t="s">
        <v>143</v>
      </c>
      <c r="I391" s="75" t="s">
        <v>110</v>
      </c>
      <c r="J391" s="75">
        <v>2025</v>
      </c>
      <c r="K391" s="75"/>
    </row>
    <row r="392" spans="1:11" ht="270" customHeight="1" x14ac:dyDescent="0.25">
      <c r="A392" s="74" t="s">
        <v>981</v>
      </c>
      <c r="B392" s="74" t="s">
        <v>744</v>
      </c>
      <c r="C392" s="75" t="s">
        <v>749</v>
      </c>
      <c r="D392" s="75"/>
      <c r="E392" s="75" t="s">
        <v>750</v>
      </c>
      <c r="F392" s="76">
        <v>0</v>
      </c>
      <c r="G392" s="76">
        <v>0</v>
      </c>
      <c r="H392" s="75" t="s">
        <v>143</v>
      </c>
      <c r="I392" s="75" t="s">
        <v>110</v>
      </c>
      <c r="J392" s="75">
        <v>2025</v>
      </c>
      <c r="K392" s="75"/>
    </row>
    <row r="393" spans="1:11" ht="270" customHeight="1" x14ac:dyDescent="0.25">
      <c r="A393" s="74" t="s">
        <v>981</v>
      </c>
      <c r="B393" s="74" t="s">
        <v>744</v>
      </c>
      <c r="C393" s="75" t="s">
        <v>949</v>
      </c>
      <c r="D393" s="75" t="s">
        <v>950</v>
      </c>
      <c r="E393" s="75" t="s">
        <v>951</v>
      </c>
      <c r="F393" s="76">
        <v>0</v>
      </c>
      <c r="G393" s="76">
        <v>0</v>
      </c>
      <c r="H393" s="75" t="s">
        <v>143</v>
      </c>
      <c r="I393" s="75" t="s">
        <v>110</v>
      </c>
      <c r="J393" s="75">
        <v>2025</v>
      </c>
      <c r="K393" s="75"/>
    </row>
    <row r="394" spans="1:11" ht="270" customHeight="1" x14ac:dyDescent="0.25">
      <c r="A394" s="74" t="s">
        <v>981</v>
      </c>
      <c r="B394" s="74" t="s">
        <v>744</v>
      </c>
      <c r="C394" s="75" t="s">
        <v>751</v>
      </c>
      <c r="D394" s="75"/>
      <c r="E394" s="75" t="s">
        <v>752</v>
      </c>
      <c r="F394" s="76">
        <v>0</v>
      </c>
      <c r="G394" s="76">
        <v>0</v>
      </c>
      <c r="H394" s="75" t="s">
        <v>143</v>
      </c>
      <c r="I394" s="75" t="s">
        <v>110</v>
      </c>
      <c r="J394" s="75">
        <v>2025</v>
      </c>
      <c r="K394" s="75"/>
    </row>
    <row r="395" spans="1:11" ht="270" customHeight="1" x14ac:dyDescent="0.25">
      <c r="A395" s="74" t="s">
        <v>981</v>
      </c>
      <c r="B395" s="74" t="s">
        <v>753</v>
      </c>
      <c r="C395" s="75" t="s">
        <v>754</v>
      </c>
      <c r="D395" s="75"/>
      <c r="E395" s="75" t="s">
        <v>755</v>
      </c>
      <c r="F395" s="76">
        <v>0</v>
      </c>
      <c r="G395" s="76">
        <v>0</v>
      </c>
      <c r="H395" s="75" t="s">
        <v>756</v>
      </c>
      <c r="I395" s="75" t="s">
        <v>110</v>
      </c>
      <c r="J395" s="75">
        <v>2025</v>
      </c>
      <c r="K395" s="75"/>
    </row>
    <row r="396" spans="1:11" ht="270" customHeight="1" x14ac:dyDescent="0.25">
      <c r="A396" s="74" t="s">
        <v>981</v>
      </c>
      <c r="B396" s="74" t="s">
        <v>753</v>
      </c>
      <c r="C396" s="75" t="s">
        <v>757</v>
      </c>
      <c r="D396" s="75"/>
      <c r="E396" s="75" t="s">
        <v>758</v>
      </c>
      <c r="F396" s="76">
        <v>0</v>
      </c>
      <c r="G396" s="76">
        <v>0</v>
      </c>
      <c r="H396" s="75" t="s">
        <v>143</v>
      </c>
      <c r="I396" s="75" t="s">
        <v>110</v>
      </c>
      <c r="J396" s="75">
        <v>2025</v>
      </c>
      <c r="K396" s="75"/>
    </row>
    <row r="397" spans="1:11" ht="270" customHeight="1" x14ac:dyDescent="0.25">
      <c r="A397" s="74" t="s">
        <v>981</v>
      </c>
      <c r="B397" s="74" t="s">
        <v>753</v>
      </c>
      <c r="C397" s="75" t="s">
        <v>759</v>
      </c>
      <c r="D397" s="75"/>
      <c r="E397" s="75" t="s">
        <v>760</v>
      </c>
      <c r="F397" s="76">
        <v>0</v>
      </c>
      <c r="G397" s="76">
        <v>0</v>
      </c>
      <c r="H397" s="75" t="s">
        <v>143</v>
      </c>
      <c r="I397" s="75" t="s">
        <v>110</v>
      </c>
      <c r="J397" s="75">
        <v>2025</v>
      </c>
      <c r="K397" s="75"/>
    </row>
    <row r="398" spans="1:11" ht="270" customHeight="1" x14ac:dyDescent="0.25">
      <c r="A398" s="74" t="s">
        <v>981</v>
      </c>
      <c r="B398" s="74" t="s">
        <v>753</v>
      </c>
      <c r="C398" s="75" t="s">
        <v>761</v>
      </c>
      <c r="D398" s="75"/>
      <c r="E398" s="75" t="s">
        <v>762</v>
      </c>
      <c r="F398" s="76">
        <v>0</v>
      </c>
      <c r="G398" s="76">
        <v>0</v>
      </c>
      <c r="H398" s="75" t="s">
        <v>736</v>
      </c>
      <c r="I398" s="75" t="s">
        <v>110</v>
      </c>
      <c r="J398" s="75">
        <v>2025</v>
      </c>
      <c r="K398" s="75"/>
    </row>
    <row r="399" spans="1:11" ht="270" customHeight="1" x14ac:dyDescent="0.25">
      <c r="A399" s="74" t="s">
        <v>981</v>
      </c>
      <c r="B399" s="74" t="s">
        <v>753</v>
      </c>
      <c r="C399" s="75" t="s">
        <v>958</v>
      </c>
      <c r="D399" s="75" t="s">
        <v>959</v>
      </c>
      <c r="E399" s="75" t="s">
        <v>960</v>
      </c>
      <c r="F399" s="76">
        <v>0</v>
      </c>
      <c r="G399" s="76">
        <v>0</v>
      </c>
      <c r="H399" s="75" t="s">
        <v>737</v>
      </c>
      <c r="I399" s="75" t="s">
        <v>110</v>
      </c>
      <c r="J399" s="75">
        <v>2025</v>
      </c>
      <c r="K399" s="75"/>
    </row>
    <row r="400" spans="1:11" ht="270" customHeight="1" x14ac:dyDescent="0.25">
      <c r="A400" s="74" t="s">
        <v>22</v>
      </c>
      <c r="B400" s="74" t="s">
        <v>40</v>
      </c>
      <c r="C400" s="75" t="s">
        <v>973</v>
      </c>
      <c r="D400" s="75" t="s">
        <v>974</v>
      </c>
      <c r="E400" s="75" t="s">
        <v>975</v>
      </c>
      <c r="F400" s="76">
        <v>0</v>
      </c>
      <c r="G400" s="76">
        <v>0</v>
      </c>
      <c r="H400" s="75"/>
      <c r="I400" s="75"/>
      <c r="J400" s="75"/>
      <c r="K400" s="75"/>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10"/>
  <dimension ref="A1:K18"/>
  <sheetViews>
    <sheetView zoomScale="84" zoomScaleNormal="84" workbookViewId="0">
      <selection activeCell="K13" sqref="K13"/>
    </sheetView>
  </sheetViews>
  <sheetFormatPr baseColWidth="10" defaultColWidth="11.42578125" defaultRowHeight="15" x14ac:dyDescent="0.25"/>
  <cols>
    <col min="1" max="1" width="9.42578125" bestFit="1" customWidth="1"/>
    <col min="2" max="2" width="27.28515625" customWidth="1"/>
    <col min="3" max="3" width="28.28515625" bestFit="1" customWidth="1"/>
    <col min="5" max="5" width="50" customWidth="1"/>
    <col min="6" max="6" width="9.42578125" bestFit="1" customWidth="1"/>
    <col min="7" max="7" width="11" bestFit="1" customWidth="1"/>
    <col min="8" max="8" width="12.42578125" bestFit="1" customWidth="1"/>
    <col min="9" max="9" width="9.42578125" bestFit="1" customWidth="1"/>
    <col min="10" max="10" width="11" bestFit="1" customWidth="1"/>
    <col min="11" max="11" width="12.42578125" bestFit="1" customWidth="1"/>
  </cols>
  <sheetData>
    <row r="1" spans="1:11" ht="35.450000000000003" customHeight="1" x14ac:dyDescent="0.25">
      <c r="A1" s="121" t="s">
        <v>763</v>
      </c>
      <c r="B1" s="113"/>
      <c r="C1" s="113"/>
      <c r="D1" s="113"/>
      <c r="E1" s="113"/>
      <c r="F1" s="113"/>
      <c r="G1" s="104"/>
      <c r="H1" s="112" t="s">
        <v>764</v>
      </c>
      <c r="I1" s="113"/>
      <c r="J1" s="113"/>
      <c r="K1" s="104"/>
    </row>
    <row r="2" spans="1:11" ht="15.95" customHeight="1" x14ac:dyDescent="0.25">
      <c r="A2" s="114" t="s">
        <v>765</v>
      </c>
      <c r="B2" s="115" t="s">
        <v>766</v>
      </c>
      <c r="C2" s="115" t="s">
        <v>767</v>
      </c>
      <c r="D2" s="117" t="s">
        <v>768</v>
      </c>
      <c r="E2" s="118"/>
      <c r="F2" s="116" t="s">
        <v>769</v>
      </c>
      <c r="G2" s="113"/>
      <c r="H2" s="104"/>
      <c r="I2" s="116" t="s">
        <v>770</v>
      </c>
      <c r="J2" s="113"/>
      <c r="K2" s="104"/>
    </row>
    <row r="3" spans="1:11" ht="42.75" customHeight="1" x14ac:dyDescent="0.25">
      <c r="A3" s="86"/>
      <c r="B3" s="86"/>
      <c r="C3" s="86"/>
      <c r="D3" s="119"/>
      <c r="E3" s="120"/>
      <c r="F3" s="7" t="s">
        <v>771</v>
      </c>
      <c r="G3" s="7" t="s">
        <v>772</v>
      </c>
      <c r="H3" s="7" t="s">
        <v>773</v>
      </c>
      <c r="I3" s="7" t="s">
        <v>771</v>
      </c>
      <c r="J3" s="7" t="s">
        <v>772</v>
      </c>
      <c r="K3" s="7" t="s">
        <v>773</v>
      </c>
    </row>
    <row r="4" spans="1:11" ht="31.7" customHeight="1" x14ac:dyDescent="0.25">
      <c r="A4" s="108" t="s">
        <v>774</v>
      </c>
      <c r="B4" s="18" t="s">
        <v>775</v>
      </c>
      <c r="C4" s="17" t="s">
        <v>776</v>
      </c>
      <c r="D4" s="109" t="s">
        <v>777</v>
      </c>
      <c r="E4" s="104"/>
      <c r="F4" s="5">
        <v>4</v>
      </c>
      <c r="G4" s="5">
        <v>4</v>
      </c>
      <c r="H4" s="6">
        <f t="shared" ref="H4:H15" si="0">G4/F4</f>
        <v>1</v>
      </c>
      <c r="I4" s="5">
        <v>4</v>
      </c>
      <c r="J4" s="5">
        <v>4</v>
      </c>
      <c r="K4" s="6">
        <f t="shared" ref="K4:K15" si="1">J4/I4</f>
        <v>1</v>
      </c>
    </row>
    <row r="5" spans="1:11" ht="31.7" customHeight="1" x14ac:dyDescent="0.25">
      <c r="A5" s="86"/>
      <c r="B5" s="20" t="s">
        <v>778</v>
      </c>
      <c r="C5" s="17" t="s">
        <v>776</v>
      </c>
      <c r="D5" s="109" t="s">
        <v>779</v>
      </c>
      <c r="E5" s="104"/>
      <c r="F5" s="5">
        <v>4</v>
      </c>
      <c r="G5" s="5">
        <v>4</v>
      </c>
      <c r="H5" s="6">
        <f t="shared" si="0"/>
        <v>1</v>
      </c>
      <c r="I5" s="5">
        <v>4</v>
      </c>
      <c r="J5" s="5">
        <v>4</v>
      </c>
      <c r="K5" s="6">
        <f t="shared" si="1"/>
        <v>1</v>
      </c>
    </row>
    <row r="6" spans="1:11" ht="40.700000000000003" customHeight="1" x14ac:dyDescent="0.25">
      <c r="A6" s="86"/>
      <c r="B6" s="20" t="s">
        <v>780</v>
      </c>
      <c r="C6" s="17" t="s">
        <v>776</v>
      </c>
      <c r="D6" s="109" t="s">
        <v>781</v>
      </c>
      <c r="E6" s="104"/>
      <c r="F6" s="5">
        <v>4</v>
      </c>
      <c r="G6" s="5">
        <v>4</v>
      </c>
      <c r="H6" s="6">
        <f t="shared" si="0"/>
        <v>1</v>
      </c>
      <c r="I6" s="5">
        <v>4</v>
      </c>
      <c r="J6" s="5">
        <v>4</v>
      </c>
      <c r="K6" s="6">
        <f t="shared" si="1"/>
        <v>1</v>
      </c>
    </row>
    <row r="7" spans="1:11" ht="31.7" customHeight="1" x14ac:dyDescent="0.25">
      <c r="A7" s="86"/>
      <c r="B7" s="20" t="s">
        <v>782</v>
      </c>
      <c r="C7" s="17" t="s">
        <v>776</v>
      </c>
      <c r="D7" s="109" t="s">
        <v>783</v>
      </c>
      <c r="E7" s="104"/>
      <c r="F7" s="5">
        <v>4</v>
      </c>
      <c r="G7" s="5">
        <v>4</v>
      </c>
      <c r="H7" s="6">
        <f t="shared" si="0"/>
        <v>1</v>
      </c>
      <c r="I7" s="5">
        <v>4</v>
      </c>
      <c r="J7" s="5">
        <v>4</v>
      </c>
      <c r="K7" s="6">
        <f t="shared" si="1"/>
        <v>1</v>
      </c>
    </row>
    <row r="8" spans="1:11" ht="31.7" customHeight="1" x14ac:dyDescent="0.25">
      <c r="A8" s="86"/>
      <c r="B8" s="20" t="s">
        <v>784</v>
      </c>
      <c r="C8" s="17" t="s">
        <v>776</v>
      </c>
      <c r="D8" s="109" t="s">
        <v>785</v>
      </c>
      <c r="E8" s="104"/>
      <c r="F8" s="5">
        <v>4</v>
      </c>
      <c r="G8" s="5">
        <v>4</v>
      </c>
      <c r="H8" s="6">
        <f t="shared" si="0"/>
        <v>1</v>
      </c>
      <c r="I8" s="5">
        <v>4</v>
      </c>
      <c r="J8" s="5">
        <v>4</v>
      </c>
      <c r="K8" s="6">
        <f t="shared" si="1"/>
        <v>1</v>
      </c>
    </row>
    <row r="9" spans="1:11" ht="39.75" customHeight="1" x14ac:dyDescent="0.25">
      <c r="A9" s="86"/>
      <c r="B9" s="20" t="s">
        <v>786</v>
      </c>
      <c r="C9" s="17" t="s">
        <v>776</v>
      </c>
      <c r="D9" s="109" t="s">
        <v>787</v>
      </c>
      <c r="E9" s="104"/>
      <c r="F9" s="5">
        <v>4</v>
      </c>
      <c r="G9" s="5">
        <v>4</v>
      </c>
      <c r="H9" s="6">
        <f t="shared" si="0"/>
        <v>1</v>
      </c>
      <c r="I9" s="5">
        <v>4</v>
      </c>
      <c r="J9" s="5">
        <v>4</v>
      </c>
      <c r="K9" s="6">
        <f t="shared" si="1"/>
        <v>1</v>
      </c>
    </row>
    <row r="10" spans="1:11" ht="31.7" customHeight="1" x14ac:dyDescent="0.25">
      <c r="A10" s="87"/>
      <c r="B10" s="20" t="s">
        <v>788</v>
      </c>
      <c r="C10" s="17" t="s">
        <v>776</v>
      </c>
      <c r="D10" s="106" t="s">
        <v>789</v>
      </c>
      <c r="E10" s="104"/>
      <c r="F10" s="5">
        <v>4</v>
      </c>
      <c r="G10" s="5">
        <v>4</v>
      </c>
      <c r="H10" s="6">
        <f t="shared" si="0"/>
        <v>1</v>
      </c>
      <c r="I10" s="5">
        <v>4</v>
      </c>
      <c r="J10" s="5">
        <v>4</v>
      </c>
      <c r="K10" s="6">
        <f t="shared" si="1"/>
        <v>1</v>
      </c>
    </row>
    <row r="11" spans="1:11" ht="42.6" customHeight="1" x14ac:dyDescent="0.25">
      <c r="A11" s="19" t="s">
        <v>790</v>
      </c>
      <c r="B11" s="20" t="s">
        <v>791</v>
      </c>
      <c r="C11" s="17" t="s">
        <v>776</v>
      </c>
      <c r="D11" s="105" t="s">
        <v>792</v>
      </c>
      <c r="E11" s="104"/>
      <c r="F11" s="5">
        <v>4</v>
      </c>
      <c r="G11" s="5">
        <v>4</v>
      </c>
      <c r="H11" s="6">
        <f t="shared" si="0"/>
        <v>1</v>
      </c>
      <c r="I11" s="5">
        <v>4</v>
      </c>
      <c r="J11" s="5">
        <v>4</v>
      </c>
      <c r="K11" s="6">
        <f t="shared" si="1"/>
        <v>1</v>
      </c>
    </row>
    <row r="12" spans="1:11" ht="31.7" customHeight="1" x14ac:dyDescent="0.25">
      <c r="A12" s="108" t="s">
        <v>793</v>
      </c>
      <c r="B12" s="21">
        <v>45001</v>
      </c>
      <c r="C12" s="17" t="s">
        <v>776</v>
      </c>
      <c r="D12" s="110" t="s">
        <v>794</v>
      </c>
      <c r="E12" s="104"/>
      <c r="F12" s="5">
        <v>4</v>
      </c>
      <c r="G12" s="5">
        <v>4</v>
      </c>
      <c r="H12" s="6">
        <f t="shared" si="0"/>
        <v>1</v>
      </c>
      <c r="I12" s="5">
        <v>4</v>
      </c>
      <c r="J12" s="5">
        <v>4</v>
      </c>
      <c r="K12" s="6">
        <f t="shared" si="1"/>
        <v>1</v>
      </c>
    </row>
    <row r="13" spans="1:11" ht="35.450000000000003" customHeight="1" x14ac:dyDescent="0.25">
      <c r="A13" s="86"/>
      <c r="B13" s="21" t="s">
        <v>795</v>
      </c>
      <c r="C13" s="17" t="s">
        <v>776</v>
      </c>
      <c r="D13" s="110" t="s">
        <v>796</v>
      </c>
      <c r="E13" s="104"/>
      <c r="F13" s="5">
        <v>4</v>
      </c>
      <c r="G13" s="5">
        <v>4</v>
      </c>
      <c r="H13" s="6">
        <f t="shared" si="0"/>
        <v>1</v>
      </c>
      <c r="I13" s="5">
        <v>4</v>
      </c>
      <c r="J13" s="5">
        <v>4</v>
      </c>
      <c r="K13" s="6">
        <f t="shared" si="1"/>
        <v>1</v>
      </c>
    </row>
    <row r="14" spans="1:11" ht="47.25" customHeight="1" x14ac:dyDescent="0.25">
      <c r="A14" s="86"/>
      <c r="B14" s="21" t="s">
        <v>797</v>
      </c>
      <c r="C14" s="17" t="s">
        <v>776</v>
      </c>
      <c r="D14" s="110" t="s">
        <v>798</v>
      </c>
      <c r="E14" s="104"/>
      <c r="F14" s="5">
        <v>4</v>
      </c>
      <c r="G14" s="5">
        <v>4</v>
      </c>
      <c r="H14" s="6">
        <f t="shared" si="0"/>
        <v>1</v>
      </c>
      <c r="I14" s="5">
        <v>4</v>
      </c>
      <c r="J14" s="5">
        <v>4</v>
      </c>
      <c r="K14" s="6">
        <f t="shared" si="1"/>
        <v>1</v>
      </c>
    </row>
    <row r="15" spans="1:11" ht="15.95" customHeight="1" x14ac:dyDescent="0.25">
      <c r="A15" s="87"/>
      <c r="B15" s="22" t="s">
        <v>799</v>
      </c>
      <c r="C15" s="17" t="s">
        <v>776</v>
      </c>
      <c r="D15" s="111" t="s">
        <v>800</v>
      </c>
      <c r="E15" s="104"/>
      <c r="F15" s="5">
        <v>4</v>
      </c>
      <c r="G15" s="5">
        <v>4</v>
      </c>
      <c r="H15" s="6">
        <f t="shared" si="0"/>
        <v>1</v>
      </c>
      <c r="I15" s="5">
        <v>4</v>
      </c>
      <c r="J15" s="5">
        <v>4</v>
      </c>
      <c r="K15" s="6">
        <f t="shared" si="1"/>
        <v>1</v>
      </c>
    </row>
    <row r="17" spans="2:6" ht="18.600000000000001" customHeight="1" x14ac:dyDescent="0.25">
      <c r="B17" s="107" t="s">
        <v>801</v>
      </c>
      <c r="C17" s="82"/>
      <c r="D17" s="82"/>
      <c r="E17" s="82"/>
      <c r="F17" s="82"/>
    </row>
    <row r="18" spans="2:6" ht="14.85" customHeight="1" x14ac:dyDescent="0.25">
      <c r="B18" s="82"/>
      <c r="C18" s="82"/>
      <c r="D18" s="82"/>
      <c r="E18" s="82"/>
      <c r="F18" s="82"/>
    </row>
  </sheetData>
  <mergeCells count="23">
    <mergeCell ref="H1:K1"/>
    <mergeCell ref="D9:E9"/>
    <mergeCell ref="A2:A3"/>
    <mergeCell ref="B2:B3"/>
    <mergeCell ref="C2:C3"/>
    <mergeCell ref="A4:A10"/>
    <mergeCell ref="I2:K2"/>
    <mergeCell ref="F2:H2"/>
    <mergeCell ref="D2:E3"/>
    <mergeCell ref="A1:G1"/>
    <mergeCell ref="D11:E11"/>
    <mergeCell ref="D10:E10"/>
    <mergeCell ref="B17:F18"/>
    <mergeCell ref="A12:A15"/>
    <mergeCell ref="D4:E4"/>
    <mergeCell ref="D5:E5"/>
    <mergeCell ref="D6:E6"/>
    <mergeCell ref="D13:E13"/>
    <mergeCell ref="D15:E15"/>
    <mergeCell ref="D14:E14"/>
    <mergeCell ref="D7:E7"/>
    <mergeCell ref="D12:E12"/>
    <mergeCell ref="D8:E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11"/>
  <dimension ref="A1:O12"/>
  <sheetViews>
    <sheetView zoomScale="80" zoomScaleNormal="80" workbookViewId="0">
      <selection activeCell="F22" sqref="F22"/>
    </sheetView>
  </sheetViews>
  <sheetFormatPr baseColWidth="10" defaultRowHeight="15" x14ac:dyDescent="0.25"/>
  <cols>
    <col min="1" max="1" width="12.42578125" customWidth="1"/>
    <col min="2" max="2" width="19" customWidth="1"/>
    <col min="3" max="3" width="25.28515625" customWidth="1"/>
    <col min="4" max="4" width="35.28515625" customWidth="1"/>
    <col min="5" max="5" width="37.42578125" customWidth="1"/>
    <col min="6" max="6" width="52.42578125" customWidth="1"/>
  </cols>
  <sheetData>
    <row r="1" spans="1:15" ht="50.25" customHeight="1" x14ac:dyDescent="0.25">
      <c r="A1" s="122" t="s">
        <v>802</v>
      </c>
      <c r="B1" s="123"/>
      <c r="C1" s="123"/>
      <c r="D1" s="123"/>
      <c r="E1" s="123"/>
      <c r="F1" s="124"/>
      <c r="G1" s="4"/>
      <c r="H1" s="4"/>
      <c r="I1" s="4"/>
      <c r="J1" s="4"/>
      <c r="K1" s="4"/>
      <c r="L1" s="4"/>
      <c r="M1" s="4"/>
      <c r="N1" s="4"/>
      <c r="O1" s="4"/>
    </row>
    <row r="2" spans="1:15" ht="34.35" customHeight="1" x14ac:dyDescent="0.25">
      <c r="A2" s="127" t="s">
        <v>803</v>
      </c>
      <c r="B2" s="130" t="s">
        <v>804</v>
      </c>
      <c r="C2" s="130" t="s">
        <v>805</v>
      </c>
      <c r="D2" s="40" t="s">
        <v>806</v>
      </c>
      <c r="E2" s="40" t="s">
        <v>807</v>
      </c>
      <c r="F2" s="58" t="s">
        <v>808</v>
      </c>
    </row>
    <row r="3" spans="1:15" ht="75.95" customHeight="1" x14ac:dyDescent="0.25">
      <c r="A3" s="128"/>
      <c r="B3" s="87"/>
      <c r="C3" s="87"/>
      <c r="D3" s="41" t="s">
        <v>809</v>
      </c>
      <c r="E3" s="41" t="s">
        <v>810</v>
      </c>
      <c r="F3" s="59" t="s">
        <v>811</v>
      </c>
    </row>
    <row r="4" spans="1:15" ht="18" customHeight="1" x14ac:dyDescent="0.25">
      <c r="A4" s="127" t="s">
        <v>812</v>
      </c>
      <c r="B4" s="129" t="s">
        <v>813</v>
      </c>
      <c r="C4" s="130" t="s">
        <v>814</v>
      </c>
      <c r="D4" s="125" t="s">
        <v>815</v>
      </c>
      <c r="E4" s="113"/>
      <c r="F4" s="126"/>
    </row>
    <row r="5" spans="1:15" ht="18.95" customHeight="1" x14ac:dyDescent="0.25">
      <c r="A5" s="131"/>
      <c r="B5" s="86"/>
      <c r="C5" s="86"/>
      <c r="D5" s="41" t="s">
        <v>816</v>
      </c>
      <c r="E5" s="41" t="s">
        <v>817</v>
      </c>
      <c r="F5" s="59" t="s">
        <v>818</v>
      </c>
    </row>
    <row r="6" spans="1:15" ht="18.95" customHeight="1" x14ac:dyDescent="0.25">
      <c r="A6" s="128"/>
      <c r="B6" s="87"/>
      <c r="C6" s="87"/>
      <c r="D6" s="42" t="s">
        <v>819</v>
      </c>
      <c r="E6" s="40" t="s">
        <v>820</v>
      </c>
      <c r="F6" s="58" t="s">
        <v>821</v>
      </c>
    </row>
    <row r="7" spans="1:15" ht="18" customHeight="1" x14ac:dyDescent="0.25">
      <c r="A7" s="127" t="s">
        <v>822</v>
      </c>
      <c r="B7" s="129" t="s">
        <v>823</v>
      </c>
      <c r="C7" s="130" t="s">
        <v>824</v>
      </c>
      <c r="D7" s="41" t="s">
        <v>825</v>
      </c>
      <c r="E7" s="41" t="s">
        <v>826</v>
      </c>
      <c r="F7" s="59" t="s">
        <v>827</v>
      </c>
    </row>
    <row r="8" spans="1:15" ht="18.95" customHeight="1" x14ac:dyDescent="0.25">
      <c r="A8" s="128"/>
      <c r="B8" s="87"/>
      <c r="C8" s="87"/>
      <c r="D8" s="42" t="s">
        <v>828</v>
      </c>
      <c r="E8" s="40" t="s">
        <v>829</v>
      </c>
      <c r="F8" s="60" t="s">
        <v>830</v>
      </c>
    </row>
    <row r="9" spans="1:15" ht="18.95" customHeight="1" x14ac:dyDescent="0.25">
      <c r="A9" s="127" t="s">
        <v>831</v>
      </c>
      <c r="B9" s="129" t="s">
        <v>832</v>
      </c>
      <c r="C9" s="130" t="s">
        <v>833</v>
      </c>
      <c r="D9" s="41" t="s">
        <v>834</v>
      </c>
      <c r="E9" s="41" t="s">
        <v>835</v>
      </c>
      <c r="F9" s="59" t="s">
        <v>836</v>
      </c>
    </row>
    <row r="10" spans="1:15" ht="18.95" customHeight="1" x14ac:dyDescent="0.25">
      <c r="A10" s="128"/>
      <c r="B10" s="87"/>
      <c r="C10" s="87"/>
      <c r="D10" s="42" t="s">
        <v>837</v>
      </c>
      <c r="E10" s="40" t="s">
        <v>838</v>
      </c>
      <c r="F10" s="58" t="s">
        <v>839</v>
      </c>
    </row>
    <row r="11" spans="1:15" ht="18.95" customHeight="1" x14ac:dyDescent="0.25">
      <c r="A11" s="127" t="s">
        <v>840</v>
      </c>
      <c r="B11" s="129" t="s">
        <v>841</v>
      </c>
      <c r="C11" s="132" t="s">
        <v>842</v>
      </c>
      <c r="D11" s="41" t="s">
        <v>843</v>
      </c>
      <c r="E11" s="41" t="s">
        <v>844</v>
      </c>
      <c r="F11" s="59" t="s">
        <v>845</v>
      </c>
    </row>
    <row r="12" spans="1:15" ht="20.100000000000001" customHeight="1" thickBot="1" x14ac:dyDescent="0.3">
      <c r="A12" s="128"/>
      <c r="B12" s="87"/>
      <c r="C12" s="133"/>
      <c r="D12" s="61" t="s">
        <v>846</v>
      </c>
      <c r="E12" s="61" t="s">
        <v>847</v>
      </c>
      <c r="F12" s="62" t="s">
        <v>848</v>
      </c>
    </row>
  </sheetData>
  <mergeCells count="17">
    <mergeCell ref="A9:A10"/>
    <mergeCell ref="B9:B10"/>
    <mergeCell ref="C9:C10"/>
    <mergeCell ref="A11:A12"/>
    <mergeCell ref="B11:B12"/>
    <mergeCell ref="C11:C12"/>
    <mergeCell ref="A1:F1"/>
    <mergeCell ref="D4:F4"/>
    <mergeCell ref="A7:A8"/>
    <mergeCell ref="B7:B8"/>
    <mergeCell ref="C7:C8"/>
    <mergeCell ref="B2:B3"/>
    <mergeCell ref="C2:C3"/>
    <mergeCell ref="A2:A3"/>
    <mergeCell ref="A4:A6"/>
    <mergeCell ref="B4:B6"/>
    <mergeCell ref="C4:C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2"/>
  <sheetViews>
    <sheetView topLeftCell="A18" zoomScale="80" zoomScaleNormal="80" workbookViewId="0">
      <selection activeCell="D22" sqref="D22"/>
    </sheetView>
  </sheetViews>
  <sheetFormatPr baseColWidth="10" defaultColWidth="9" defaultRowHeight="15" x14ac:dyDescent="0.2"/>
  <cols>
    <col min="1" max="1" width="26.42578125" style="15" customWidth="1"/>
    <col min="2" max="2" width="51.42578125" style="16" customWidth="1"/>
    <col min="3" max="3" width="29" style="14" customWidth="1"/>
    <col min="4" max="4" width="72" style="14" customWidth="1"/>
    <col min="5" max="5" width="34.42578125" style="13" customWidth="1"/>
    <col min="6" max="10" width="9" style="13" customWidth="1"/>
    <col min="11" max="16384" width="9" style="13"/>
  </cols>
  <sheetData>
    <row r="1" spans="1:8" ht="128.1" customHeight="1" x14ac:dyDescent="0.25">
      <c r="A1" s="134" t="s">
        <v>849</v>
      </c>
      <c r="B1" s="113"/>
      <c r="C1" s="113"/>
      <c r="D1" s="104"/>
      <c r="E1" s="32" t="s">
        <v>33</v>
      </c>
    </row>
    <row r="2" spans="1:8" ht="144.94999999999999" customHeight="1" x14ac:dyDescent="0.2">
      <c r="A2" s="33" t="s">
        <v>850</v>
      </c>
      <c r="B2" s="34" t="s">
        <v>851</v>
      </c>
      <c r="C2" s="34" t="s">
        <v>852</v>
      </c>
      <c r="D2" s="35" t="s">
        <v>853</v>
      </c>
      <c r="E2" s="36" t="s">
        <v>854</v>
      </c>
      <c r="F2" s="14"/>
      <c r="G2" s="14"/>
      <c r="H2" s="14"/>
    </row>
    <row r="3" spans="1:8" ht="32.1" customHeight="1" x14ac:dyDescent="0.2">
      <c r="A3" s="135">
        <v>45823</v>
      </c>
      <c r="B3" s="1" t="s">
        <v>855</v>
      </c>
      <c r="C3" s="43" t="s">
        <v>856</v>
      </c>
      <c r="D3" s="1" t="s">
        <v>857</v>
      </c>
      <c r="E3" s="136" t="s">
        <v>858</v>
      </c>
    </row>
    <row r="4" spans="1:8" ht="96" customHeight="1" x14ac:dyDescent="0.2">
      <c r="A4" s="86"/>
      <c r="B4" s="1" t="s">
        <v>859</v>
      </c>
      <c r="C4" s="43" t="s">
        <v>860</v>
      </c>
      <c r="D4" s="44" t="s">
        <v>861</v>
      </c>
      <c r="E4" s="86"/>
    </row>
    <row r="5" spans="1:8" ht="63.95" customHeight="1" x14ac:dyDescent="0.2">
      <c r="A5" s="86"/>
      <c r="B5" s="44" t="s">
        <v>259</v>
      </c>
      <c r="C5" s="43" t="s">
        <v>860</v>
      </c>
      <c r="D5" s="44" t="s">
        <v>862</v>
      </c>
      <c r="E5" s="86"/>
    </row>
    <row r="6" spans="1:8" ht="80.099999999999994" customHeight="1" x14ac:dyDescent="0.2">
      <c r="A6" s="86"/>
      <c r="B6" s="1" t="s">
        <v>863</v>
      </c>
      <c r="C6" s="43" t="s">
        <v>864</v>
      </c>
      <c r="D6" s="1" t="s">
        <v>865</v>
      </c>
      <c r="E6" s="86"/>
    </row>
    <row r="7" spans="1:8" ht="96" customHeight="1" x14ac:dyDescent="0.2">
      <c r="A7" s="86"/>
      <c r="B7" s="1" t="s">
        <v>866</v>
      </c>
      <c r="C7" s="43" t="s">
        <v>867</v>
      </c>
      <c r="D7" s="1" t="s">
        <v>868</v>
      </c>
      <c r="E7" s="86"/>
    </row>
    <row r="8" spans="1:8" ht="80.099999999999994" customHeight="1" x14ac:dyDescent="0.2">
      <c r="A8" s="86"/>
      <c r="B8" s="1" t="s">
        <v>869</v>
      </c>
      <c r="C8" s="43" t="s">
        <v>870</v>
      </c>
      <c r="D8" s="1" t="s">
        <v>871</v>
      </c>
      <c r="E8" s="86"/>
    </row>
    <row r="9" spans="1:8" ht="96" customHeight="1" x14ac:dyDescent="0.2">
      <c r="A9" s="86"/>
      <c r="B9" s="1" t="s">
        <v>872</v>
      </c>
      <c r="C9" s="43" t="s">
        <v>870</v>
      </c>
      <c r="D9" s="44" t="s">
        <v>873</v>
      </c>
      <c r="E9" s="86"/>
    </row>
    <row r="10" spans="1:8" ht="32.1" customHeight="1" x14ac:dyDescent="0.2">
      <c r="A10" s="86"/>
      <c r="B10" s="1" t="s">
        <v>216</v>
      </c>
      <c r="C10" s="43" t="s">
        <v>874</v>
      </c>
      <c r="D10" s="1" t="s">
        <v>875</v>
      </c>
      <c r="E10" s="86"/>
    </row>
    <row r="11" spans="1:8" ht="96" customHeight="1" x14ac:dyDescent="0.2">
      <c r="A11" s="86"/>
      <c r="B11" s="1" t="s">
        <v>876</v>
      </c>
      <c r="C11" s="43" t="s">
        <v>877</v>
      </c>
      <c r="D11" s="44" t="s">
        <v>878</v>
      </c>
      <c r="E11" s="86"/>
    </row>
    <row r="12" spans="1:8" ht="63.95" customHeight="1" x14ac:dyDescent="0.2">
      <c r="A12" s="87"/>
      <c r="B12" s="1" t="s">
        <v>879</v>
      </c>
      <c r="C12" s="43" t="s">
        <v>880</v>
      </c>
      <c r="D12" s="1" t="s">
        <v>881</v>
      </c>
      <c r="E12" s="87"/>
    </row>
    <row r="13" spans="1:8" ht="113.1" customHeight="1" x14ac:dyDescent="0.2">
      <c r="A13" s="135">
        <v>45969</v>
      </c>
      <c r="B13" s="1" t="s">
        <v>882</v>
      </c>
      <c r="C13" s="43" t="s">
        <v>883</v>
      </c>
      <c r="D13" s="1" t="s">
        <v>884</v>
      </c>
      <c r="E13" s="137"/>
    </row>
    <row r="14" spans="1:8" ht="96" customHeight="1" x14ac:dyDescent="0.2">
      <c r="A14" s="86"/>
      <c r="B14" s="1" t="s">
        <v>885</v>
      </c>
      <c r="C14" s="43" t="s">
        <v>883</v>
      </c>
      <c r="D14" s="1" t="s">
        <v>886</v>
      </c>
      <c r="E14" s="138"/>
    </row>
    <row r="15" spans="1:8" ht="63.95" customHeight="1" x14ac:dyDescent="0.2">
      <c r="A15" s="86"/>
      <c r="B15" s="1" t="s">
        <v>887</v>
      </c>
      <c r="C15" s="43" t="s">
        <v>883</v>
      </c>
      <c r="D15" s="1" t="s">
        <v>888</v>
      </c>
      <c r="E15" s="138"/>
    </row>
    <row r="16" spans="1:8" ht="96" customHeight="1" x14ac:dyDescent="0.2">
      <c r="A16" s="86"/>
      <c r="B16" s="1" t="s">
        <v>889</v>
      </c>
      <c r="C16" s="43" t="s">
        <v>883</v>
      </c>
      <c r="D16" s="1" t="s">
        <v>890</v>
      </c>
      <c r="E16" s="138"/>
    </row>
    <row r="17" spans="1:5" ht="80.099999999999994" customHeight="1" x14ac:dyDescent="0.2">
      <c r="A17" s="86"/>
      <c r="B17" s="1" t="s">
        <v>891</v>
      </c>
      <c r="C17" s="43" t="s">
        <v>883</v>
      </c>
      <c r="D17" s="1" t="s">
        <v>892</v>
      </c>
      <c r="E17" s="138"/>
    </row>
    <row r="18" spans="1:5" ht="105" customHeight="1" x14ac:dyDescent="0.2">
      <c r="A18" s="86"/>
      <c r="B18" s="1" t="s">
        <v>141</v>
      </c>
      <c r="C18" s="43" t="s">
        <v>140</v>
      </c>
      <c r="D18" s="1" t="s">
        <v>893</v>
      </c>
      <c r="E18" s="138"/>
    </row>
    <row r="19" spans="1:5" ht="74.099999999999994" customHeight="1" x14ac:dyDescent="0.2">
      <c r="A19" s="86"/>
      <c r="B19" s="1" t="s">
        <v>144</v>
      </c>
      <c r="C19" s="43" t="s">
        <v>140</v>
      </c>
      <c r="D19" s="1" t="s">
        <v>894</v>
      </c>
      <c r="E19" s="138"/>
    </row>
    <row r="20" spans="1:5" ht="77.099999999999994" customHeight="1" x14ac:dyDescent="0.2">
      <c r="A20" s="86"/>
      <c r="B20" s="1" t="s">
        <v>146</v>
      </c>
      <c r="C20" s="43" t="s">
        <v>140</v>
      </c>
      <c r="D20" s="1" t="s">
        <v>895</v>
      </c>
      <c r="E20" s="138"/>
    </row>
    <row r="21" spans="1:5" ht="66.95" customHeight="1" x14ac:dyDescent="0.2">
      <c r="A21" s="86"/>
      <c r="B21" s="1" t="s">
        <v>149</v>
      </c>
      <c r="C21" s="43" t="s">
        <v>140</v>
      </c>
      <c r="D21" s="1" t="s">
        <v>896</v>
      </c>
      <c r="E21" s="138"/>
    </row>
    <row r="22" spans="1:5" ht="111.95" customHeight="1" x14ac:dyDescent="0.2">
      <c r="A22" s="87"/>
      <c r="B22" s="1" t="s">
        <v>897</v>
      </c>
      <c r="C22" s="43" t="s">
        <v>898</v>
      </c>
      <c r="D22" s="1"/>
      <c r="E22" s="139"/>
    </row>
  </sheetData>
  <mergeCells count="5">
    <mergeCell ref="A1:D1"/>
    <mergeCell ref="A3:A12"/>
    <mergeCell ref="E3:E12"/>
    <mergeCell ref="A13:A22"/>
    <mergeCell ref="E13:E22"/>
  </mergeCells>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8"/>
  <sheetViews>
    <sheetView showGridLines="0" topLeftCell="A13" zoomScale="90" zoomScaleNormal="90" workbookViewId="0">
      <selection activeCell="C14" sqref="C14:H14"/>
    </sheetView>
  </sheetViews>
  <sheetFormatPr baseColWidth="10" defaultRowHeight="15" x14ac:dyDescent="0.25"/>
  <cols>
    <col min="4" max="4" width="11" customWidth="1"/>
    <col min="8" max="8" width="44.140625" customWidth="1"/>
    <col min="9" max="9" width="5.42578125" customWidth="1"/>
    <col min="10" max="10" width="13.42578125" customWidth="1"/>
    <col min="11" max="11" width="28" customWidth="1"/>
  </cols>
  <sheetData>
    <row r="1" spans="1:11" ht="14.85" customHeight="1" x14ac:dyDescent="0.25">
      <c r="A1" s="145" t="s">
        <v>899</v>
      </c>
      <c r="B1" s="95"/>
      <c r="C1" s="95"/>
      <c r="D1" s="95"/>
      <c r="E1" s="95"/>
      <c r="F1" s="95"/>
      <c r="G1" s="95"/>
      <c r="H1" s="95"/>
      <c r="I1" s="95"/>
      <c r="J1" s="146"/>
      <c r="K1" s="26" t="s">
        <v>900</v>
      </c>
    </row>
    <row r="2" spans="1:11" x14ac:dyDescent="0.25">
      <c r="A2" s="97"/>
      <c r="B2" s="82"/>
      <c r="C2" s="82"/>
      <c r="D2" s="82"/>
      <c r="E2" s="82"/>
      <c r="F2" s="82"/>
      <c r="G2" s="82"/>
      <c r="H2" s="82"/>
      <c r="I2" s="82"/>
      <c r="J2" s="147"/>
      <c r="K2" s="27" t="s">
        <v>901</v>
      </c>
    </row>
    <row r="3" spans="1:11" ht="17.100000000000001" customHeight="1" thickBot="1" x14ac:dyDescent="0.3">
      <c r="A3" s="99"/>
      <c r="B3" s="100"/>
      <c r="C3" s="100"/>
      <c r="D3" s="100"/>
      <c r="E3" s="100"/>
      <c r="F3" s="100"/>
      <c r="G3" s="100"/>
      <c r="H3" s="100"/>
      <c r="I3" s="100"/>
      <c r="J3" s="148"/>
      <c r="K3" s="28" t="s">
        <v>902</v>
      </c>
    </row>
    <row r="4" spans="1:11" ht="15.95" customHeight="1" thickBot="1" x14ac:dyDescent="0.3"/>
    <row r="5" spans="1:11" ht="87.6" customHeight="1" thickBot="1" x14ac:dyDescent="0.3">
      <c r="A5" s="149" t="s">
        <v>903</v>
      </c>
      <c r="B5" s="91"/>
      <c r="C5" s="91"/>
      <c r="D5" s="91"/>
      <c r="E5" s="91"/>
      <c r="F5" s="91"/>
      <c r="G5" s="91"/>
      <c r="H5" s="91"/>
      <c r="I5" s="91"/>
      <c r="J5" s="91"/>
      <c r="K5" s="150"/>
    </row>
    <row r="6" spans="1:11" ht="15.95" customHeight="1" thickBot="1" x14ac:dyDescent="0.3"/>
    <row r="7" spans="1:11" ht="167.85" customHeight="1" thickBot="1" x14ac:dyDescent="0.3">
      <c r="A7" s="151" t="s">
        <v>904</v>
      </c>
      <c r="B7" s="91"/>
      <c r="C7" s="91"/>
      <c r="D7" s="91"/>
      <c r="E7" s="91"/>
      <c r="F7" s="91"/>
      <c r="G7" s="91"/>
      <c r="H7" s="91"/>
      <c r="I7" s="91"/>
      <c r="J7" s="91"/>
      <c r="K7" s="150"/>
    </row>
    <row r="8" spans="1:11" x14ac:dyDescent="0.25">
      <c r="A8" s="23" t="s">
        <v>905</v>
      </c>
    </row>
    <row r="9" spans="1:11" ht="15.95" customHeight="1" x14ac:dyDescent="0.4">
      <c r="A9" s="152" t="s">
        <v>906</v>
      </c>
      <c r="B9" s="104"/>
      <c r="C9" s="153" t="s">
        <v>907</v>
      </c>
      <c r="D9" s="113"/>
      <c r="E9" s="113"/>
      <c r="F9" s="113"/>
      <c r="G9" s="113"/>
      <c r="H9" s="104"/>
      <c r="I9" s="153" t="s">
        <v>908</v>
      </c>
      <c r="J9" s="104"/>
      <c r="K9" s="25" t="s">
        <v>909</v>
      </c>
    </row>
    <row r="10" spans="1:11" ht="144.6" customHeight="1" x14ac:dyDescent="0.25">
      <c r="A10" s="140" t="s">
        <v>910</v>
      </c>
      <c r="B10" s="104"/>
      <c r="C10" s="110" t="s">
        <v>911</v>
      </c>
      <c r="D10" s="113"/>
      <c r="E10" s="113"/>
      <c r="F10" s="113"/>
      <c r="G10" s="113"/>
      <c r="H10" s="104"/>
      <c r="I10" s="105" t="s">
        <v>912</v>
      </c>
      <c r="J10" s="104"/>
      <c r="K10" s="24" t="s">
        <v>913</v>
      </c>
    </row>
    <row r="11" spans="1:11" ht="217.5" customHeight="1" x14ac:dyDescent="0.25">
      <c r="A11" s="140" t="s">
        <v>914</v>
      </c>
      <c r="B11" s="104"/>
      <c r="C11" s="110" t="s">
        <v>915</v>
      </c>
      <c r="D11" s="113"/>
      <c r="E11" s="113"/>
      <c r="F11" s="113"/>
      <c r="G11" s="113"/>
      <c r="H11" s="104"/>
      <c r="I11" s="105" t="s">
        <v>912</v>
      </c>
      <c r="J11" s="104"/>
      <c r="K11" s="24" t="s">
        <v>913</v>
      </c>
    </row>
    <row r="12" spans="1:11" ht="189" customHeight="1" x14ac:dyDescent="0.25">
      <c r="A12" s="144" t="s">
        <v>916</v>
      </c>
      <c r="B12" s="104"/>
      <c r="C12" s="110" t="s">
        <v>917</v>
      </c>
      <c r="D12" s="113"/>
      <c r="E12" s="113"/>
      <c r="F12" s="113"/>
      <c r="G12" s="113"/>
      <c r="H12" s="104"/>
      <c r="I12" s="105" t="s">
        <v>912</v>
      </c>
      <c r="J12" s="104"/>
      <c r="K12" s="24" t="s">
        <v>913</v>
      </c>
    </row>
    <row r="13" spans="1:11" ht="65.099999999999994" customHeight="1" x14ac:dyDescent="0.25">
      <c r="A13" s="140" t="s">
        <v>918</v>
      </c>
      <c r="B13" s="104"/>
      <c r="C13" s="110" t="s">
        <v>919</v>
      </c>
      <c r="D13" s="113"/>
      <c r="E13" s="113"/>
      <c r="F13" s="113"/>
      <c r="G13" s="113"/>
      <c r="H13" s="104"/>
      <c r="I13" s="105" t="s">
        <v>912</v>
      </c>
      <c r="J13" s="104"/>
      <c r="K13" s="2" t="s">
        <v>920</v>
      </c>
    </row>
    <row r="14" spans="1:11" ht="133.5" customHeight="1" x14ac:dyDescent="0.25">
      <c r="A14" s="140" t="s">
        <v>921</v>
      </c>
      <c r="B14" s="104"/>
      <c r="C14" s="110" t="s">
        <v>922</v>
      </c>
      <c r="D14" s="113"/>
      <c r="E14" s="113"/>
      <c r="F14" s="113"/>
      <c r="G14" s="113"/>
      <c r="H14" s="104"/>
      <c r="I14" s="105" t="s">
        <v>912</v>
      </c>
      <c r="J14" s="104"/>
      <c r="K14" s="24" t="s">
        <v>913</v>
      </c>
    </row>
    <row r="15" spans="1:11" ht="52.35" customHeight="1" x14ac:dyDescent="0.25">
      <c r="A15" s="140" t="s">
        <v>923</v>
      </c>
      <c r="B15" s="104"/>
      <c r="C15" s="110" t="s">
        <v>924</v>
      </c>
      <c r="D15" s="113"/>
      <c r="E15" s="113"/>
      <c r="F15" s="113"/>
      <c r="G15" s="113"/>
      <c r="H15" s="104"/>
      <c r="I15" s="105" t="s">
        <v>912</v>
      </c>
      <c r="J15" s="104"/>
      <c r="K15" s="2" t="s">
        <v>925</v>
      </c>
    </row>
    <row r="16" spans="1:11" ht="96.6" customHeight="1" x14ac:dyDescent="0.25">
      <c r="A16" s="140" t="s">
        <v>926</v>
      </c>
      <c r="B16" s="104"/>
      <c r="C16" s="110" t="s">
        <v>927</v>
      </c>
      <c r="D16" s="113"/>
      <c r="E16" s="113"/>
      <c r="F16" s="113"/>
      <c r="G16" s="113"/>
      <c r="H16" s="104"/>
      <c r="I16" s="105" t="s">
        <v>912</v>
      </c>
      <c r="J16" s="104"/>
      <c r="K16" s="2" t="s">
        <v>928</v>
      </c>
    </row>
    <row r="17" spans="1:11" ht="18.95" customHeight="1" x14ac:dyDescent="0.25">
      <c r="A17" s="141" t="s">
        <v>929</v>
      </c>
      <c r="B17" s="113"/>
      <c r="C17" s="113"/>
      <c r="D17" s="113"/>
      <c r="E17" s="113"/>
      <c r="F17" s="113"/>
      <c r="G17" s="113"/>
      <c r="H17" s="113"/>
      <c r="I17" s="113"/>
      <c r="J17" s="113"/>
      <c r="K17" s="104"/>
    </row>
    <row r="18" spans="1:11" ht="39.950000000000003" customHeight="1" x14ac:dyDescent="0.25">
      <c r="A18" s="37" t="s">
        <v>930</v>
      </c>
      <c r="B18" s="142" t="s">
        <v>931</v>
      </c>
      <c r="C18" s="113"/>
      <c r="D18" s="104"/>
      <c r="E18" s="143" t="s">
        <v>932</v>
      </c>
      <c r="F18" s="104"/>
      <c r="G18" s="143" t="s">
        <v>933</v>
      </c>
      <c r="H18" s="113"/>
      <c r="I18" s="104"/>
      <c r="J18" s="38" t="s">
        <v>934</v>
      </c>
      <c r="K18" s="39" t="s">
        <v>935</v>
      </c>
    </row>
  </sheetData>
  <mergeCells count="31">
    <mergeCell ref="A1:J3"/>
    <mergeCell ref="A5:K5"/>
    <mergeCell ref="A7:K7"/>
    <mergeCell ref="A9:B9"/>
    <mergeCell ref="C9:H9"/>
    <mergeCell ref="I9:J9"/>
    <mergeCell ref="A10:B10"/>
    <mergeCell ref="C10:H10"/>
    <mergeCell ref="I10:J10"/>
    <mergeCell ref="A11:B11"/>
    <mergeCell ref="C11:H11"/>
    <mergeCell ref="I11:J11"/>
    <mergeCell ref="A12:B12"/>
    <mergeCell ref="C12:H12"/>
    <mergeCell ref="I12:J12"/>
    <mergeCell ref="A13:B13"/>
    <mergeCell ref="C13:H13"/>
    <mergeCell ref="I13:J13"/>
    <mergeCell ref="A14:B14"/>
    <mergeCell ref="C14:H14"/>
    <mergeCell ref="I14:J14"/>
    <mergeCell ref="A15:B15"/>
    <mergeCell ref="C15:H15"/>
    <mergeCell ref="I15:J15"/>
    <mergeCell ref="A16:B16"/>
    <mergeCell ref="C16:H16"/>
    <mergeCell ref="I16:J16"/>
    <mergeCell ref="A17:K17"/>
    <mergeCell ref="B18:D18"/>
    <mergeCell ref="E18:F18"/>
    <mergeCell ref="G18:I18"/>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Presentación</vt:lpstr>
      <vt:lpstr>% Cumplimiento</vt:lpstr>
      <vt:lpstr>Requisitos Generales</vt:lpstr>
      <vt:lpstr>Otros</vt:lpstr>
      <vt:lpstr>Sanciones</vt:lpstr>
      <vt:lpstr>Cambios</vt:lpstr>
      <vt:lpstr>Procedimiento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F Rico</dc:creator>
  <cp:lastModifiedBy>Simón Henao</cp:lastModifiedBy>
  <dcterms:created xsi:type="dcterms:W3CDTF">2015-07-02T15:27:47Z</dcterms:created>
  <dcterms:modified xsi:type="dcterms:W3CDTF">2025-11-21T15:11:59Z</dcterms:modified>
</cp:coreProperties>
</file>